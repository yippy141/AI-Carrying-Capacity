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acdabb4863d4f79" /></Relationships>
</file>

<file path=xl/workbook.xml><?xml version="1.0" encoding="utf-8"?>
<x:workbook xmlns:x="http://schemas.openxmlformats.org/spreadsheetml/2006/main">
  <x:sheets>
    <x:sheet xmlns:r="http://schemas.openxmlformats.org/officeDocument/2006/relationships" name="Overview" sheetId="1" r:id="R81ccdd0b49fb4c3f"/>
    <x:sheet xmlns:r="http://schemas.openxmlformats.org/officeDocument/2006/relationships" name="Profile review" sheetId="2" r:id="R8390e675212c412c"/>
    <x:sheet xmlns:r="http://schemas.openxmlformats.org/officeDocument/2006/relationships" name="Dimension review" sheetId="3" r:id="R39dc5f65d9304658"/>
    <x:sheet xmlns:r="http://schemas.openxmlformats.org/officeDocument/2006/relationships" name="Load-bearing gaps" sheetId="4" r:id="R437981973bf8474f"/>
    <x:sheet xmlns:r="http://schemas.openxmlformats.org/officeDocument/2006/relationships" name="Variants" sheetId="5" r:id="Ra83ee0852cdb4c83"/>
    <x:sheet xmlns:r="http://schemas.openxmlformats.org/officeDocument/2006/relationships" name="Owner exceptions" sheetId="6" r:id="Refcb79adddb740b7"/>
    <x:sheet xmlns:r="http://schemas.openxmlformats.org/officeDocument/2006/relationships" name="Human experts" sheetId="7" r:id="Rfadfbc95efea4796"/>
    <x:sheet xmlns:r="http://schemas.openxmlformats.org/officeDocument/2006/relationships" name="Outreach packages" sheetId="8" r:id="R0787220e1d7445b6"/>
    <x:sheet xmlns:r="http://schemas.openxmlformats.org/officeDocument/2006/relationships" name="Preserved record" sheetId="9" r:id="R61c62e93d6e448b8"/>
    <x:sheet xmlns:r="http://schemas.openxmlformats.org/officeDocument/2006/relationships" name="Sources" sheetId="10" r:id="R6ddf4b20b21e45d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20313B"/>
      <x:name val="Aptos"/>
    </x:font>
    <x:font>
      <x:b/>
      <x:sz val="18"/>
      <x:color rgb="FFFFFFFF"/>
      <x:name val="Aptos"/>
    </x:font>
    <x:font>
      <x:sz val="11"/>
      <x:color rgb="FF50646C"/>
      <x:name val="Aptos"/>
    </x:font>
    <x:font>
      <x:b/>
      <x:sz val="11"/>
      <x:color rgb="FFFFFFFF"/>
      <x:name val="Aptos"/>
    </x:font>
    <x:font>
      <x:b/>
      <x:sz val="23"/>
      <x:color rgb="FFFFFFFF"/>
      <x:name val="Aptos"/>
    </x:font>
    <x:font>
      <x:b/>
      <x:sz val="11"/>
      <x:color rgb="FF176E70"/>
      <x:name val="Aptos"/>
    </x:font>
    <x:font>
      <x:b/>
      <x:sz val="18"/>
      <x:color rgb="FF176E70"/>
      <x:name val="Aptos"/>
    </x:font>
  </x:fonts>
  <x:fills count="6">
    <x:fill>
      <x:patternFill patternType="none"/>
    </x:fill>
    <x:fill>
      <x:patternFill patternType="gray125"/>
    </x:fill>
    <x:fill>
      <x:patternFill patternType="solid">
        <x:fgColor rgb="FF183440"/>
      </x:patternFill>
    </x:fill>
    <x:fill>
      <x:patternFill patternType="solid">
        <x:fgColor rgb="FF176E70"/>
      </x:patternFill>
    </x:fill>
    <x:fill>
      <x:patternFill patternType="solid">
        <x:fgColor rgb="FFF4F7F7"/>
      </x:patternFill>
    </x:fill>
    <x:fill>
      <x:patternFill patternType="solid">
        <x:fgColor rgb="FFE1EEEC"/>
      </x:patternFill>
    </x:fill>
  </x:fills>
  <x:borders count="1">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4" borderId="0" xfId="0" applyNumberFormat="1" applyFont="1" applyFill="1" applyBorder="1" applyAlignment="1">
      <x:alignment horizontal="center" vertical="top" wrapText="1"/>
    </x:xf>
    <x:xf numFmtId="200" fontId="1" fillId="0" borderId="0" xfId="0" applyNumberFormat="1" applyFont="1" applyFill="1" applyBorder="1" applyAlignment="1">
      <x:alignment horizontal="center" vertical="top" wrapText="1"/>
    </x:xf>
    <x:xf numFmtId="0" fontId="5" fillId="2"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6" fillId="5" borderId="0" xfId="0" applyNumberFormat="1" applyFont="1" applyFill="1" applyBorder="1" applyAlignment="1">
      <x:alignment vertical="top" wrapText="1"/>
    </x:xf>
    <x:xf numFmtId="0" fontId="7" fillId="0" borderId="0" xfId="0" applyNumberFormat="1" applyFont="1" applyFill="1" applyBorder="1" applyAlignment="1">
      <x:alignment vertical="top" wrapText="1"/>
    </x:xf>
    <x:xf numFmtId="200" fontId="7"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200" fontId="7" fillId="0"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cellXfs>
  <x:cellStyles count="1">
    <x:cellStyle name="Normal" xfId="0"/>
  </x:cellStyles>
  <x:dxfs count="2">
    <x:dxf>
      <x:font>
        <x:color rgb="FF794A0A"/>
      </x:font>
      <x:fill>
        <x:patternFill patternType="solid">
          <x:bgColor rgb="FFFFF0D6"/>
        </x:patternFill>
      </x:fill>
    </x:dxf>
    <x:dxf>
      <x:font>
        <x:b/>
        <x:color rgb="FF8A3226"/>
      </x:font>
      <x:fill>
        <x:patternFill patternType="solid">
          <x:bgColor rgb="FFFBE5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c02c26a9e9644a0" /><Relationship Type="http://schemas.openxmlformats.org/officeDocument/2006/relationships/theme" Target="/xl/theme/theme1.xml" Id="Rde434fc4d686437a" /><Relationship Type="http://schemas.openxmlformats.org/officeDocument/2006/relationships/sharedStrings" Target="/xl/sharedStrings.xml" Id="R4e7abdf6a9394fed" /><Relationship Type="http://schemas.openxmlformats.org/officeDocument/2006/relationships/worksheet" Target="/xl/worksheets/sheet1.xml" Id="R81ccdd0b49fb4c3f" /><Relationship Type="http://schemas.openxmlformats.org/officeDocument/2006/relationships/worksheet" Target="/xl/worksheets/sheet2.xml" Id="R8390e675212c412c" /><Relationship Type="http://schemas.openxmlformats.org/officeDocument/2006/relationships/worksheet" Target="/xl/worksheets/sheet3.xml" Id="R39dc5f65d9304658" /><Relationship Type="http://schemas.openxmlformats.org/officeDocument/2006/relationships/worksheet" Target="/xl/worksheets/sheet4.xml" Id="R437981973bf8474f" /><Relationship Type="http://schemas.openxmlformats.org/officeDocument/2006/relationships/worksheet" Target="/xl/worksheets/sheet5.xml" Id="Ra83ee0852cdb4c83" /><Relationship Type="http://schemas.openxmlformats.org/officeDocument/2006/relationships/worksheet" Target="/xl/worksheets/sheet6.xml" Id="Refcb79adddb740b7" /><Relationship Type="http://schemas.openxmlformats.org/officeDocument/2006/relationships/worksheet" Target="/xl/worksheets/sheet7.xml" Id="Rfadfbc95efea4796" /><Relationship Type="http://schemas.openxmlformats.org/officeDocument/2006/relationships/worksheet" Target="/xl/worksheets/sheet8.xml" Id="R0787220e1d7445b6" /><Relationship Type="http://schemas.openxmlformats.org/officeDocument/2006/relationships/worksheet" Target="/xl/worksheets/sheet9.xml" Id="R61c62e93d6e448b8" /><Relationship Type="http://schemas.openxmlformats.org/officeDocument/2006/relationships/worksheet" Target="/xl/worksheets/sheet10.xml" Id="R6ddf4b20b21e45dc" /></Relationships>
</file>

<file path=xl/tables/table1.xml><?xml version="1.0" encoding="utf-8"?>
<x:table xmlns:x="http://schemas.openxmlformats.org/spreadsheetml/2006/main" id="2" name="ProfilereviewTable" displayName="ProfilereviewTable" ref="A4:O22" headerRowCount="1" totalsRowCount="0" totalsRowShown="0">
  <x:tableColumns count="15">
    <x:tableColumn id="1" name="Profile ID"/>
    <x:tableColumn id="2" name="Workflow"/>
    <x:tableColumn id="3" name="Lifecycle"/>
    <x:tableColumn id="4" name="Frozen scope"/>
    <x:tableColumn id="5" name="S1 assessment"/>
    <x:tableColumn id="6" name="S2 assessment"/>
    <x:tableColumn id="7" name="S3 assessment"/>
    <x:tableColumn id="8" name="S4 assessment"/>
    <x:tableColumn id="9" name="S5 assessment"/>
    <x:tableColumn id="10" name="Open gap IDs"/>
    <x:tableColumn id="11" name="Unresolved empirical gaps"/>
    <x:tableColumn id="12" name="Canonical source IDs"/>
    <x:tableColumn id="13" name="Pathway"/>
    <x:tableColumn id="14" name="Application context"/>
    <x:tableColumn id="15" name="Critical path role"/>
  </x:tableColumns>
  <x:tableStyleInfo name="TableStyleMedium2" showFirstColumn="0" showLastColumn="0" showRowStripes="1" showColumnStripes="0"/>
</x:table>
</file>

<file path=xl/tables/table2.xml><?xml version="1.0" encoding="utf-8"?>
<x:table xmlns:x="http://schemas.openxmlformats.org/spreadsheetml/2006/main" id="1" name="DimensionreviewTable" displayName="DimensionreviewTable" ref="A4:AA94" headerRowCount="1" totalsRowCount="0" totalsRowShown="0">
  <x:tableColumns count="27">
    <x:tableColumn id="1" name="Profile ID"/>
    <x:tableColumn id="2" name="Dimension"/>
    <x:tableColumn id="3" name="Seed"/>
    <x:tableColumn id="4" name="Independent"/>
    <x:tableColumn id="5" name="Current low"/>
    <x:tableColumn id="6" name="Current high"/>
    <x:tableColumn id="7" name="Owner disposition"/>
    <x:tableColumn id="8" name="Recommended low"/>
    <x:tableColumn id="9" name="Recommended high"/>
    <x:tableColumn id="10" name="Form"/>
    <x:tableColumn id="11" name="Confidence"/>
    <x:tableColumn id="12" name="Disposition"/>
    <x:tableColumn id="13" name="Reason"/>
    <x:tableColumn id="14" name="Canonical source IDs"/>
    <x:tableColumn id="15" name="Revisit trigger"/>
    <x:tableColumn id="16" name="Named expert required"/>
    <x:tableColumn id="17" name="Owner exception"/>
    <x:tableColumn id="18" name="Workflow"/>
    <x:tableColumn id="19" name="Evidence relation"/>
    <x:tableColumn id="20" name="Evidence maturity"/>
    <x:tableColumn id="21" name="Technical assessment"/>
    <x:tableColumn id="22" name="Technical transferability"/>
    <x:tableColumn id="23" name="S5 bounded consequence"/>
    <x:tableColumn id="24" name="S5 next independent boundary"/>
    <x:tableColumn id="25" name="S5 excluded consequences"/>
    <x:tableColumn id="26" name="S5 boundary status"/>
    <x:tableColumn id="27" name="Review ID"/>
  </x:tableColumns>
  <x:tableStyleInfo name="TableStyleMedium2" showFirstColumn="0" showLastColumn="0" showRowStripes="1" showColumnStripes="0"/>
</x:table>
</file>

<file path=xl/tables/table3.xml><?xml version="1.0" encoding="utf-8"?>
<x:table xmlns:x="http://schemas.openxmlformats.org/spreadsheetml/2006/main" id="3" name="LoadbearinggapsTable" displayName="LoadbearinggapsTable" ref="A4:F13" headerRowCount="1" totalsRowCount="0" totalsRowShown="0">
  <x:tableColumns count="6">
    <x:tableColumn id="1" name="Gap ID"/>
    <x:tableColumn id="2" name="Profile ID"/>
    <x:tableColumn id="3" name="Empirical outcome still missing"/>
    <x:tableColumn id="4" name="Status"/>
    <x:tableColumn id="5" name="Why it remains open"/>
    <x:tableColumn id="6" name="Canonical context IDs"/>
  </x:tableColumns>
  <x:tableStyleInfo name="TableStyleMedium2" showFirstColumn="0" showLastColumn="0" showRowStripes="1" showColumnStripes="0"/>
</x:table>
</file>

<file path=xl/tables/table4.xml><?xml version="1.0" encoding="utf-8"?>
<x:table xmlns:x="http://schemas.openxmlformats.org/spreadsheetml/2006/main" id="4" name="VariantsTable" displayName="VariantsTable" ref="A4:G12" headerRowCount="1" totalsRowCount="0" totalsRowShown="0">
  <x:tableColumns count="7">
    <x:tableColumn id="1" name="Profile ID"/>
    <x:tableColumn id="2" name="Dimension"/>
    <x:tableColumn id="3" name="Variant type"/>
    <x:tableColumn id="4" name="Recommended interval"/>
    <x:tableColumn id="5" name="Scope question for later work"/>
    <x:tableColumn id="6" name="Technical constraint"/>
    <x:tableColumn id="7" name="Canonical source IDs"/>
  </x:tableColumns>
  <x:tableStyleInfo name="TableStyleMedium2" showFirstColumn="0" showLastColumn="0" showRowStripes="1" showColumnStripes="0"/>
</x:table>
</file>

<file path=xl/tables/table5.xml><?xml version="1.0" encoding="utf-8"?>
<x:table xmlns:x="http://schemas.openxmlformats.org/spreadsheetml/2006/main" id="5" name="OwnerexceptionsTable" displayName="OwnerexceptionsTable" ref="A4:I32" headerRowCount="1" totalsRowCount="0" totalsRowShown="0">
  <x:tableColumns count="9">
    <x:tableColumn id="1" name="Profile ID"/>
    <x:tableColumn id="2" name="Dimension"/>
    <x:tableColumn id="3" name="Recommended interval"/>
    <x:tableColumn id="4" name="Disposition"/>
    <x:tableColumn id="5" name="Preserved owner disposition"/>
    <x:tableColumn id="6" name="Owner rationale (verbatim)"/>
    <x:tableColumn id="7" name="Question / action"/>
    <x:tableColumn id="8" name="Reason"/>
    <x:tableColumn id="9" name="Canonical source IDs"/>
  </x:tableColumns>
  <x:tableStyleInfo name="TableStyleMedium2" showFirstColumn="0" showLastColumn="0" showRowStripes="1" showColumnStripes="0"/>
</x:table>
</file>

<file path=xl/tables/table6.xml><?xml version="1.0" encoding="utf-8"?>
<x:table xmlns:x="http://schemas.openxmlformats.org/spreadsheetml/2006/main" id="6" name="HumanexpertsTable" displayName="HumanexpertsTable" ref="A4:K23" headerRowCount="1" totalsRowCount="0" totalsRowShown="0">
  <x:tableColumns count="11">
    <x:tableColumn id="1" name="Profile ID"/>
    <x:tableColumn id="2" name="Dimension"/>
    <x:tableColumn id="3" name="Outreach package"/>
    <x:tableColumn id="4" name="Question for named specialist"/>
    <x:tableColumn id="5" name="Why load-bearing"/>
    <x:tableColumn id="6" name="Canonical source IDs"/>
    <x:tableColumn id="7" name="Requested expertise"/>
    <x:tableColumn id="8" name="Blocking stage"/>
    <x:tableColumn id="9" name="Draft-use status"/>
    <x:tableColumn id="10" name="Named reviewer"/>
    <x:tableColumn id="11" name="Status"/>
  </x:tableColumns>
  <x:tableStyleInfo name="TableStyleMedium2" showFirstColumn="0" showLastColumn="0" showRowStripes="1" showColumnStripes="0"/>
</x:table>
</file>

<file path=xl/tables/table7.xml><?xml version="1.0" encoding="utf-8"?>
<x:table xmlns:x="http://schemas.openxmlformats.org/spreadsheetml/2006/main" id="7" name="OutreachpackagesTable" displayName="OutreachpackagesTable" ref="A4:H10" headerRowCount="1" totalsRowCount="0" totalsRowShown="0">
  <x:tableColumns count="8">
    <x:tableColumn id="1" name="Package ID"/>
    <x:tableColumn id="2" name="Theme"/>
    <x:tableColumn id="3" name="Cell-level questions"/>
    <x:tableColumn id="4" name="Question count"/>
    <x:tableColumn id="5" name="Primary expertise"/>
    <x:tableColumn id="6" name="Blocking stage"/>
    <x:tableColumn id="7" name="Draft-use status"/>
    <x:tableColumn id="8" name="Purpose"/>
  </x:tableColumns>
  <x:tableStyleInfo name="TableStyleMedium2" showFirstColumn="0" showLastColumn="0" showRowStripes="1" showColumnStripes="0"/>
</x:table>
</file>

<file path=xl/tables/table8.xml><?xml version="1.0" encoding="utf-8"?>
<x:table xmlns:x="http://schemas.openxmlformats.org/spreadsheetml/2006/main" id="8" name="PreservedrecordTable" displayName="PreservedrecordTable" ref="A4:O94" headerRowCount="1" totalsRowCount="0" totalsRowShown="0">
  <x:tableColumns count="15">
    <x:tableColumn id="1" name="Profile ID"/>
    <x:tableColumn id="2" name="Dimension"/>
    <x:tableColumn id="3" name="Seed review ID"/>
    <x:tableColumn id="4" name="Independent review ID"/>
    <x:tableColumn id="5" name="Seed source IDs"/>
    <x:tableColumn id="6" name="Independent source IDs"/>
    <x:tableColumn id="7" name="Owner exception ID"/>
    <x:tableColumn id="8" name="Owner disposition"/>
    <x:tableColumn id="9" name="Owner rationale (verbatim)"/>
    <x:tableColumn id="10" name="Owner selected S value"/>
    <x:tableColumn id="11" name="Owner decision state"/>
    <x:tableColumn id="12" name="Seed rationale (verbatim)"/>
    <x:tableColumn id="13" name="Independent rationale (verbatim)"/>
    <x:tableColumn id="14" name="Comparison status"/>
    <x:tableColumn id="15" name="Existing S5 backlog status"/>
  </x:tableColumns>
  <x:tableStyleInfo name="TableStyleMedium2" showFirstColumn="0" showLastColumn="0" showRowStripes="1" showColumnStripes="0"/>
</x:table>
</file>

<file path=xl/tables/table9.xml><?xml version="1.0" encoding="utf-8"?>
<x:table xmlns:x="http://schemas.openxmlformats.org/spreadsheetml/2006/main" id="9" name="SourcesTable" displayName="SourcesTable" ref="A4:H34" headerRowCount="1" totalsRowCount="0" totalsRowShown="0">
  <x:tableColumns count="8">
    <x:tableColumn id="1" name="Canonical source ID"/>
    <x:tableColumn id="2" name="Title"/>
    <x:tableColumn id="3" name="Primary / publisher URL"/>
    <x:tableColumn id="4" name="Independent-validation status"/>
    <x:tableColumn id="5" name="Evidence basis (bank)"/>
    <x:tableColumn id="6" name="Last verified"/>
    <x:tableColumn id="7" name="Source limitation"/>
    <x:tableColumn id="8" name="Promotion use restrict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707e40947c84971" /></Relationships>
</file>

<file path=xl/worksheets/_rels/sheet3.xml.rels>&#65279;<?xml version="1.0" encoding="utf-8"?><Relationships xmlns="http://schemas.openxmlformats.org/package/2006/relationships"><Relationship Type="http://schemas.openxmlformats.org/officeDocument/2006/relationships/table" Target="/xl/tables/table2.xml" Id="R95d9885d8d124114" /></Relationships>
</file>

<file path=xl/worksheets/_rels/sheet4.xml.rels>&#65279;<?xml version="1.0" encoding="utf-8"?><Relationships xmlns="http://schemas.openxmlformats.org/package/2006/relationships"><Relationship Type="http://schemas.openxmlformats.org/officeDocument/2006/relationships/table" Target="/xl/tables/table3.xml" Id="R1f1577532aa2466f" /></Relationships>
</file>

<file path=xl/worksheets/_rels/sheet5.xml.rels>&#65279;<?xml version="1.0" encoding="utf-8"?><Relationships xmlns="http://schemas.openxmlformats.org/package/2006/relationships"><Relationship Type="http://schemas.openxmlformats.org/officeDocument/2006/relationships/table" Target="/xl/tables/table4.xml" Id="R37b54836ea764ece" /></Relationships>
</file>

<file path=xl/worksheets/_rels/sheet6.xml.rels>&#65279;<?xml version="1.0" encoding="utf-8"?><Relationships xmlns="http://schemas.openxmlformats.org/package/2006/relationships"><Relationship Type="http://schemas.openxmlformats.org/officeDocument/2006/relationships/table" Target="/xl/tables/table5.xml" Id="Rac83ac2347e9473d" /></Relationships>
</file>

<file path=xl/worksheets/_rels/sheet7.xml.rels>&#65279;<?xml version="1.0" encoding="utf-8"?><Relationships xmlns="http://schemas.openxmlformats.org/package/2006/relationships"><Relationship Type="http://schemas.openxmlformats.org/officeDocument/2006/relationships/table" Target="/xl/tables/table6.xml" Id="R0f829761380348b0" /></Relationships>
</file>

<file path=xl/worksheets/_rels/sheet8.xml.rels>&#65279;<?xml version="1.0" encoding="utf-8"?><Relationships xmlns="http://schemas.openxmlformats.org/package/2006/relationships"><Relationship Type="http://schemas.openxmlformats.org/officeDocument/2006/relationships/table" Target="/xl/tables/table7.xml" Id="Ra12dafa029484cd6" /></Relationships>
</file>

<file path=xl/worksheets/_rels/sheet9.xml.rels>&#65279;<?xml version="1.0" encoding="utf-8"?><Relationships xmlns="http://schemas.openxmlformats.org/package/2006/relationships"><Relationship Type="http://schemas.openxmlformats.org/officeDocument/2006/relationships/table" Target="/xl/tables/table8.xml" Id="Rb4db1a378bfd4c07" /></Relationships>
</file>

<file path=xl/worksheets/_rels/sheet10.xml.rels>&#65279;<?xml version="1.0" encoding="utf-8"?><Relationships xmlns="http://schemas.openxmlformats.org/package/2006/relationships"><Relationship Type="http://schemas.openxmlformats.org/officeDocument/2006/relationships/table" Target="/xl/tables/table9.xml" Id="R0600383297a24e2b" /></Relationships>
</file>

<file path=xl/worksheets/sheet1.xml><?xml version="1.0" encoding="utf-8"?>
<x:worksheet xmlns:x="http://schemas.openxmlformats.org/spreadsheetml/2006/main">
  <x:sheetViews>
    <x:sheetView showGridLines="0" workbookViewId="0"/>
  </x:sheetViews>
  <x:sheetFormatPr defaultRowHeight="15"/>
  <x:cols>
    <x:col min="1" max="1" width="45" hidden="0" customWidth="1"/>
    <x:col min="2" max="2" width="17" hidden="0" customWidth="1"/>
    <x:col min="3" max="3" width="96" hidden="0" customWidth="1"/>
  </x:cols>
  <x:sheetData>
    <x:row r="1" ht="42" customHeight="1">
      <x:c r="A1" s="14" t="str">
        <x:v>Fusion | technical domain review</x:v>
      </x:c>
      <x:c r="B1" s="14"/>
      <x:c r="C1" s="14"/>
    </x:row>
    <x:row r="2" ht="31" customHeight="1">
      <x:c r="A2" s="16" t="str">
        <x:v>MODEL_DOMAIN_SYNTHESIS · AI-assisted recommendations · no named human sign-off · no profile approval</x:v>
      </x:c>
      <x:c r="B2" s="16"/>
      <x:c r="C2" s="16"/>
    </x:row>
    <x:row r="3">
      <x:c r="A3" s="3"/>
      <x:c r="B3" s="3"/>
      <x:c r="C3" s="3"/>
    </x:row>
    <x:row r="4" ht="32" customHeight="1">
      <x:c r="A4" s="3" t="str">
        <x:v>Profiles reviewed</x:v>
      </x:c>
      <x:c r="B4" s="20" t="n">
        <x:f>COUNTA('Profile review'!A5:A22)</x:f>
        <x:v>18</x:v>
      </x:c>
      <x:c r="C4" s="3" t="str">
        <x:v>Exactly 18 frozen tokamak profiles.</x:v>
      </x:c>
    </x:row>
    <x:row r="5" ht="32" customHeight="1">
      <x:c r="A5" s="3" t="str">
        <x:v>Dimension reviews</x:v>
      </x:c>
      <x:c r="B5" s="20" t="n">
        <x:f>COUNTA('Dimension review'!A5:A94)</x:f>
        <x:v>90</x:v>
      </x:c>
      <x:c r="C5" s="3" t="str">
        <x:v>Each of S1-S5 reviewed separately; no composite.</x:v>
      </x:c>
    </x:row>
    <x:row r="6" ht="32" customHeight="1">
      <x:c r="A6" s="3" t="str">
        <x:v>Load-bearing gaps still open</x:v>
      </x:c>
      <x:c r="B6" s="20" t="n">
        <x:f>COUNTIF('Load-bearing gaps'!D5:D13,"open")</x:f>
        <x:v>9</x:v>
      </x:c>
      <x:c r="C6" s="3" t="str">
        <x:v>Source identity does not close missing empirical outcomes.</x:v>
      </x:c>
    </x:row>
    <x:row r="7" ht="32" customHeight="1">
      <x:c r="A7" s="3" t="str">
        <x:v>Range-form recommendations</x:v>
      </x:c>
      <x:c r="B7" s="20" t="n">
        <x:f>COUNTIF('Dimension review'!J5:J94,"range")</x:f>
        <x:v>31</x:v>
      </x:c>
      <x:c r="C7" s="3" t="str">
        <x:v>Includes ranges routed to experts, evidence gaps and variants.</x:v>
      </x:c>
    </x:row>
    <x:row r="8" ht="32" customHeight="1">
      <x:c r="A8" s="3" t="str">
        <x:v>Named-specialist questions</x:v>
      </x:c>
      <x:c r="B8" s="20" t="n">
        <x:f>COUNTA('Human experts'!A5:A23)</x:f>
        <x:v>19</x:v>
      </x:c>
      <x:c r="C8" s="3" t="str">
        <x:v>All 19 cell questions remain; specialist sign-off has not occurred.</x:v>
      </x:c>
    </x:row>
    <x:row r="9" ht="32" customHeight="1">
      <x:c r="A9" s="3" t="str">
        <x:v>Owner exceptions</x:v>
      </x:c>
      <x:c r="B9" s="20" t="n">
        <x:f>COUNTA('Owner exceptions'!A5:A32)</x:f>
        <x:v>28</x:v>
      </x:c>
      <x:c r="C9" s="3" t="str">
        <x:v>Exception view only; no need to re-review all 90 cells.</x:v>
      </x:c>
    </x:row>
    <x:row r="10" ht="32" customHeight="1">
      <x:c r="A10" s="3" t="str">
        <x:v>Expert outreach packages</x:v>
      </x:c>
      <x:c r="B10" s="20" t="n">
        <x:f>COUNTA('Outreach packages'!A5:A10)</x:f>
        <x:v>6</x:v>
      </x:c>
      <x:c r="C10" s="3" t="str">
        <x:v>Six coordinated outreach requests cover all 19 cell questions.</x:v>
      </x:c>
    </x:row>
    <x:row r="11" ht="27" customHeight="1">
      <x:c r="A11" s="8" t="str">
        <x:v>Disposition (one per cell)</x:v>
      </x:c>
      <x:c r="B11" s="21" t="str">
        <x:v>Count</x:v>
      </x:c>
      <x:c r="C11" s="8" t="str">
        <x:v>Meaning</x:v>
      </x:c>
    </x:row>
    <x:row r="12" ht="34" customHeight="1">
      <x:c r="A12" s="3" t="str">
        <x:v>supports_current_record</x:v>
      </x:c>
      <x:c r="B12" s="22" t="n">
        <x:f>COUNTIF('Dimension review'!L5:L94,A12)</x:f>
        <x:v>47</x:v>
      </x:c>
      <x:c r="C12" s="3" t="str">
        <x:v>Supports coder agreement or an owner preference; does not approve the cell.</x:v>
      </x:c>
    </x:row>
    <x:row r="13" ht="34" customHeight="1">
      <x:c r="A13" s="3" t="str">
        <x:v>recommends_value_change</x:v>
      </x:c>
      <x:c r="B13" s="22" t="n">
        <x:f>COUNTIF('Dimension review'!L5:L94,A13)</x:f>
        <x:v>4</x:v>
      </x:c>
      <x:c r="C13" s="3" t="str">
        <x:v>Prefers one submitted mark over another; no production S value changed.</x:v>
      </x:c>
    </x:row>
    <x:row r="14" ht="34" customHeight="1">
      <x:c r="A14" s="3" t="str">
        <x:v>recommends_range</x:v>
      </x:c>
      <x:c r="B14" s="22" t="n">
        <x:f>COUNTIF('Dimension review'!L5:L94,A14)</x:f>
        <x:v>12</x:v>
      </x:c>
      <x:c r="C14" s="3" t="str">
        <x:v>Routine dimension-specific range; no midpoint or weighted combination.</x:v>
      </x:c>
    </x:row>
    <x:row r="15" ht="34" customHeight="1">
      <x:c r="A15" s="3" t="str">
        <x:v>insufficient_evidence</x:v>
      </x:c>
      <x:c r="B15" s="22" t="n">
        <x:f>COUNTIF('Dimension review'!L5:L94,A15)</x:f>
        <x:v>5</x:v>
      </x:c>
      <x:c r="C15" s="3" t="str">
        <x:v>Candidate value/range only; decisive empirical support remains missing.</x:v>
      </x:c>
    </x:row>
    <x:row r="16" ht="34" customHeight="1">
      <x:c r="A16" s="3" t="str">
        <x:v>requires_human_expert</x:v>
      </x:c>
      <x:c r="B16" s="22" t="n">
        <x:f>COUNTIF('Dimension review'!L5:L94,A16)</x:f>
        <x:v>14</x:v>
      </x:c>
      <x:c r="C16" s="3" t="str">
        <x:v>Named specialist must resolve a load-bearing technical interpretation.</x:v>
      </x:c>
    </x:row>
    <x:row r="17" ht="34" customHeight="1">
      <x:c r="A17" s="3" t="str">
        <x:v>requires_pathway_variant</x:v>
      </x:c>
      <x:c r="B17" s="22" t="n">
        <x:f>COUNTIF('Dimension review'!L5:L94,A17)</x:f>
        <x:v>6</x:v>
      </x:c>
      <x:c r="C17" s="3" t="str">
        <x:v>Material, technology or site-specific technical scope is needed.</x:v>
      </x:c>
    </x:row>
    <x:row r="18" ht="34" customHeight="1">
      <x:c r="A18" s="3" t="str">
        <x:v>requires_jurisdiction_variant</x:v>
      </x:c>
      <x:c r="B18" s="22" t="n">
        <x:f>COUNTIF('Dimension review'!L5:L94,A18)</x:f>
        <x:v>2</x:v>
      </x:c>
      <x:c r="C18" s="3" t="str">
        <x:v>Licensing process cannot be assigned a jurisdiction-free performance value.</x:v>
      </x:c>
    </x:row>
    <x:row r="19">
      <x:c r="A19" s="3"/>
      <x:c r="B19" s="22"/>
      <x:c r="C19" s="3"/>
    </x:row>
    <x:row r="20" ht="34" customHeight="1">
      <x:c r="A20" s="8" t="str">
        <x:v>Recommendation confidence</x:v>
      </x:c>
      <x:c r="B20" s="21" t="str">
        <x:v>Count</x:v>
      </x:c>
      <x:c r="C20" s="8" t="str">
        <x:v>Confidence in bounded rubric application, not empirical outcome success.</x:v>
      </x:c>
    </x:row>
    <x:row r="21" ht="32" customHeight="1">
      <x:c r="A21" s="3" t="str">
        <x:v>high</x:v>
      </x:c>
      <x:c r="B21" s="22" t="n">
        <x:f>COUNTIF('Dimension review'!K5:K94,A21)</x:f>
        <x:v>12</x:v>
      </x:c>
      <x:c r="C21" s="3" t="str">
        <x:v>Clear frozen-stage interpretation; empirical gaps can still remain.</x:v>
      </x:c>
    </x:row>
    <x:row r="22" ht="32" customHeight="1">
      <x:c r="A22" s="3" t="str">
        <x:v>medium</x:v>
      </x:c>
      <x:c r="B22" s="22" t="n">
        <x:f>COUNTIF('Dimension review'!K5:K94,A22)</x:f>
        <x:v>28</x:v>
      </x:c>
      <x:c r="C22" s="3" t="str">
        <x:v>Defensible structural interpretation with bounded transfer limits.</x:v>
      </x:c>
    </x:row>
    <x:row r="23" ht="32" customHeight="1">
      <x:c r="A23" s="3" t="str">
        <x:v>low</x:v>
      </x:c>
      <x:c r="B23" s="22" t="n">
        <x:f>COUNTIF('Dimension review'!K5:K94,A23)</x:f>
        <x:v>50</x:v>
      </x:c>
      <x:c r="C23" s="3" t="str">
        <x:v>Sparse/adjacent evidence, uncertain ordinary cycle or unverified assurance boundary.</x:v>
      </x:c>
    </x:row>
    <x:row r="24">
      <x:c r="A24" s="3"/>
      <x:c r="B24" s="3"/>
      <x:c r="C24" s="3"/>
    </x:row>
    <x:row r="25" ht="61" customHeight="1">
      <x:c r="A25" s="19" t="str">
        <x:v>Review provenance</x:v>
      </x:c>
      <x:c r="B25" s="3" t="str">
        <x:v>Codex Desktop; gpt-5.6-sol; xhigh (Extra High); runtime 0.151.0-alpha.7.2. Model/effort confirmed in local turn_context metadata; no human fusion-expert identity claimed.</x:v>
      </x:c>
      <x:c r="C25" s="3"/>
    </x:row>
    <x:row r="26" ht="61" customHeight="1">
      <x:c r="A26" s="19" t="str">
        <x:v>Evidence vintage</x:v>
      </x:c>
      <x:c r="B26" s="3" t="str">
        <x:v>2026-08-31 reviewed evidence bank; review date 2026-09-01. Use only promoted canonical fusion source identities. No new literature search.</x:v>
      </x:c>
      <x:c r="C26" s="3"/>
    </x:row>
    <x:row r="27" ht="49" customHeight="1">
      <x:c r="A27" s="19" t="str">
        <x:v>Merge gate</x:v>
      </x:c>
      <x:c r="B27" s="3" t="str">
        <x:v>PR #38 merged 2026-08-31T18:10:39Z. Base a85267ce3a0c6ec598554e45b9bc4a82a74f9e95 contains required head 3c8987175f6975347cc01a768c21d3386ff27cd6.</x:v>
      </x:c>
      <x:c r="C27" s="3"/>
    </x:row>
    <x:row r="28" ht="61" customHeight="1">
      <x:c r="A28" s="19" t="str">
        <x:v>PM correction</x:v>
      </x:c>
      <x:c r="B28" s="3" t="str">
        <x:v>No P0 or structural failure. Accept 88 recommendations/routes unchanged as recommendation_only; correct only sp-0024/S2 and sp-0027/S2. This does not select canonical S values.</x:v>
      </x:c>
      <x:c r="C28" s="3"/>
    </x:row>
    <x:row r="29" ht="61" customHeight="1">
      <x:c r="A29" s="19" t="str">
        <x:v>Candidate numbers</x:v>
      </x:c>
      <x:c r="B29" s="3" t="str">
        <x:v>Ordinal qualitative recommendations for later adjudication, including provisional carry-forward intervals where evidence is insufficient. They are not measured rates, empirical uncertainty bounds or selected S values.</x:v>
      </x:c>
      <x:c r="C29" s="3"/>
    </x:row>
    <x:row r="30" ht="61" customHeight="1">
      <x:c r="A30" s="19" t="str">
        <x:v>S5 boundary</x:v>
      </x:c>
      <x:c r="B30" s="3" t="str">
        <x:v>Each S5 row names the assumed next independent assurance/control boundary. No source establishes a complete pilot assurance architecture. Do not count remote cascades or double-charge harms past an independent boundary.</x:v>
      </x:c>
      <x:c r="C30" s="3"/>
    </x:row>
    <x:row r="31" ht="61" customHeight="1">
      <x:c r="A31" s="19" t="str">
        <x:v>No approval</x:v>
      </x:c>
      <x:c r="B31" s="3" t="str">
        <x:v>All recommendations remain recommendation_only. Named reviewers are missing. EXPERT-CODED · DRAFT use does not create approved/canonical status. Protected records are unchanged.</x:v>
      </x:c>
      <x:c r="C31" s="3"/>
    </x:row>
    <x:row r="32" ht="61" customHeight="1">
      <x:c r="A32" s="19" t="str">
        <x:v>Next gate</x:v>
      </x:c>
      <x:c r="B32" s="3" t="str">
        <x:v>PM substantive review and the bounded correction pass are complete. Merge remains a separate decision. Targeted S5 adjudication follows only later; WP2 is not implemented here.</x:v>
      </x:c>
      <x:c r="C32" s="3"/>
    </x:row>
    <x:row r="33" ht="61" customHeight="1">
      <x:c r="A33" s="19" t="str">
        <x:v>Navigation</x:v>
      </x:c>
      <x:c r="B33" s="3" t="str">
        <x:v>Start with Owner exceptions, Human experts and Outreach packages. Profile review summarizes 18 rows; Dimension review contains all 90 details. Preserved record retains original rationales.</x:v>
      </x:c>
      <x:c r="C33" s="3"/>
    </x:row>
    <x:row r="34" ht="61" customHeight="1">
      <x:c r="A34" s="19" t="str">
        <x:v>Excluded evidence</x:v>
      </x:c>
      <x:c r="B34" s="3" t="str">
        <x:v>fusion-src-013 and fusion-src-015 remain excluded. No STEP current target wording is used as load-bearing evidence; its failed-refresh restriction survives. No translated quotation or legal interpretation is approved.</x:v>
      </x:c>
      <x:c r="C34" s="3"/>
    </x:row>
    <x:row r="35">
      <x:c r="A35" s="3"/>
      <x:c r="B35" s="3"/>
      <x:c r="C35" s="3"/>
    </x:row>
    <x:row r="36">
      <x:c r="A36" s="3"/>
      <x:c r="B36" s="3"/>
      <x:c r="C36" s="3"/>
    </x:row>
    <x:row r="37">
      <x:c r="A37" s="3"/>
      <x:c r="B37" s="3"/>
      <x:c r="C37" s="3"/>
    </x:row>
    <x:row r="38">
      <x:c r="A38" s="3"/>
      <x:c r="B38" s="3"/>
      <x:c r="C38" s="3"/>
    </x:row>
    <x:row r="39">
      <x:c r="A39" s="3"/>
      <x:c r="B39" s="3"/>
      <x:c r="C39" s="3"/>
    </x:row>
    <x:row r="40">
      <x:c r="A40" s="3"/>
      <x:c r="B40" s="3"/>
      <x:c r="C40" s="3"/>
    </x:row>
    <x:row r="41">
      <x:c r="A41" s="3"/>
      <x:c r="B41" s="3"/>
      <x:c r="C41" s="3"/>
    </x:row>
  </x:sheetData>
  <x:mergeCells>
    <x:mergeCell ref="A1:C1"/>
    <x:mergeCell ref="A2:C2"/>
    <x:mergeCell ref="B25:C25"/>
    <x:mergeCell ref="B26:C26"/>
    <x:mergeCell ref="B27:C27"/>
    <x:mergeCell ref="B28:C28"/>
    <x:mergeCell ref="B29:C29"/>
    <x:mergeCell ref="B30:C30"/>
    <x:mergeCell ref="B31:C31"/>
    <x:mergeCell ref="B32:C32"/>
    <x:mergeCell ref="B33:C33"/>
    <x:mergeCell ref="B34:C3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30" hidden="0" customWidth="1"/>
    <x:col min="3" max="3" width="18" hidden="0" customWidth="1"/>
    <x:col min="4" max="4" width="94" hidden="0" customWidth="1"/>
    <x:col min="5" max="5" width="60" hidden="0" customWidth="1"/>
    <x:col min="6" max="6" width="60" hidden="0" customWidth="1"/>
    <x:col min="7" max="7" width="60" hidden="0" customWidth="1"/>
    <x:col min="8" max="8" width="60" hidden="0" customWidth="1"/>
    <x:col min="9" max="9" width="60" hidden="0" customWidth="1"/>
    <x:col min="10" max="10" width="17" hidden="0" customWidth="1"/>
    <x:col min="11" max="11" width="87" hidden="0" customWidth="1"/>
    <x:col min="12" max="12" width="39" hidden="0" customWidth="1"/>
    <x:col min="13" max="13" width="48" hidden="0" customWidth="1"/>
    <x:col min="14" max="14" width="85" hidden="0" customWidth="1"/>
    <x:col min="15" max="15" width="18" hidden="0" customWidth="1"/>
  </x:cols>
  <x:sheetData>
    <x:row r="1" ht="54" customHeight="1">
      <x:c r="A1" s="5" t="str">
        <x:v>Fusion | 18 profiles</x:v>
      </x:c>
      <x:c r="B1" s="5"/>
      <x:c r="C1" s="5"/>
      <x:c r="D1" s="5"/>
      <x:c r="E1" s="5"/>
      <x:c r="F1" s="5"/>
      <x:c r="G1" s="5"/>
      <x:c r="H1" s="5"/>
      <x:c r="I1" s="5"/>
      <x:c r="J1" s="5"/>
      <x:c r="K1" s="5"/>
      <x:c r="L1" s="5"/>
      <x:c r="M1" s="5"/>
      <x:c r="N1" s="5"/>
      <x:c r="O1" s="5"/>
    </x:row>
    <x:row r="2" ht="43" customHeight="1">
      <x:c r="A2" s="6" t="str">
        <x:v>AI-assisted · recommendation only. Details extend to the right.</x:v>
      </x:c>
      <x:c r="B2" s="6"/>
      <x:c r="C2" s="6"/>
      <x:c r="D2" s="6"/>
      <x:c r="E2" s="6"/>
      <x:c r="F2" s="6"/>
      <x:c r="G2" s="6"/>
      <x:c r="H2" s="6"/>
      <x:c r="I2" s="6"/>
      <x:c r="J2" s="6"/>
      <x:c r="K2" s="6"/>
      <x:c r="L2" s="6"/>
      <x:c r="M2" s="6"/>
      <x:c r="N2" s="6"/>
      <x:c r="O2" s="6"/>
    </x:row>
    <x:row r="3">
      <x:c r="A3" s="3"/>
      <x:c r="B3" s="3"/>
      <x:c r="C3" s="3"/>
      <x:c r="D3" s="3"/>
      <x:c r="E3" s="3"/>
      <x:c r="F3" s="3"/>
      <x:c r="G3" s="3"/>
      <x:c r="H3" s="3"/>
      <x:c r="I3" s="3"/>
      <x:c r="J3" s="3"/>
      <x:c r="K3" s="3"/>
      <x:c r="L3" s="3"/>
      <x:c r="M3" s="3"/>
      <x:c r="N3" s="3"/>
      <x:c r="O3" s="3"/>
    </x:row>
    <x:row r="4" ht="43" customHeight="1">
      <x:c r="A4" s="8" t="str">
        <x:v>Profile ID</x:v>
      </x:c>
      <x:c r="B4" s="8" t="str">
        <x:v>Workflow</x:v>
      </x:c>
      <x:c r="C4" s="8" t="str">
        <x:v>Lifecycle</x:v>
      </x:c>
      <x:c r="D4" s="8" t="str">
        <x:v>Frozen scope</x:v>
      </x:c>
      <x:c r="E4" s="8" t="str">
        <x:v>S1 assessment</x:v>
      </x:c>
      <x:c r="F4" s="8" t="str">
        <x:v>S2 assessment</x:v>
      </x:c>
      <x:c r="G4" s="8" t="str">
        <x:v>S3 assessment</x:v>
      </x:c>
      <x:c r="H4" s="8" t="str">
        <x:v>S4 assessment</x:v>
      </x:c>
      <x:c r="I4" s="8" t="str">
        <x:v>S5 assessment</x:v>
      </x:c>
      <x:c r="J4" s="8" t="str">
        <x:v>Open gap IDs</x:v>
      </x:c>
      <x:c r="K4" s="8" t="str">
        <x:v>Unresolved empirical gaps</x:v>
      </x:c>
      <x:c r="L4" s="8" t="str">
        <x:v>Canonical source IDs</x:v>
      </x:c>
      <x:c r="M4" s="8" t="str">
        <x:v>Pathway</x:v>
      </x:c>
      <x:c r="N4" s="8" t="str">
        <x:v>Application context</x:v>
      </x:c>
      <x:c r="O4" s="8" t="str">
        <x:v>Critical path role</x:v>
      </x:c>
    </x:row>
    <x:row r="5" ht="92" customHeight="1">
      <x:c r="A5" s="9" t="str">
        <x:v>sp-0014</x:v>
      </x:c>
      <x:c r="B5" s="9" t="str">
        <x:v>Theory and system design</x:v>
      </x:c>
      <x:c r="C5" s="9" t="str">
        <x:v>research</x:v>
      </x:c>
      <x:c r="D5" s="9" t="str">
        <x:v>Includes tokamak theory, system requirements, architecture, and pilot-plant design trade-offs under the frozen pathway. Excludes detailed subsystem engineering, component fabrication, construction, and commissioning.</x:v>
      </x:c>
      <x:c r="E5" s="9" t="str">
        <x:v>4 | high
supports_current_record
Both submissions correctly isolate analytical system design.</x:v>
      </x:c>
      <x:c r="F5" s="9" t="str">
        <x:v>2-3 | low
recommends_range
Retain the 2-3 disagreement rather than deriving cadence from programme dates.</x:v>
      </x:c>
      <x:c r="G5" s="9" t="str">
        <x:v>3 | medium
supports_current_record
3 is a qualitative intermediate judgment about cheap analysis with constrained decisive throughput.</x:v>
      </x:c>
      <x:c r="H5" s="9" t="str">
        <x:v>4 | high
supports_current_record
Both 4s remain defensible under the frozen exclusion boundary.</x:v>
      </x:c>
      <x:c r="I5" s="9" t="str">
        <x:v>2-3 | low
recommends_range
A bounded 2-3 recommendation preserves uncertainty about reversible but potentially material engineering rework.</x:v>
      </x:c>
      <x:c r="J5" s="9" t="str">
        <x:v>none</x:v>
      </x:c>
      <x:c r="K5" s="9" t="str">
        <x:v>No additional named gap; cell-specific evidence limits remain.</x:v>
      </x:c>
      <x:c r="L5" s="9" t="str">
        <x:v>fusion-src-023;fusion-src-024;fusion-src-028</x:v>
      </x:c>
      <x:c r="M5" s="9" t="str">
        <x:v>tokamak_research_to_pilot_plant_demonstration</x:v>
      </x:c>
      <x:c r="N5" s="9" t="str">
        <x:v>Tokamak research through component and subsystem development, materials qualification, facility build, commissioning, integrated demonstration, and pilot-plant readiness</x:v>
      </x:c>
      <x:c r="O5" s="9" t="str">
        <x:v>not_assessed</x:v>
      </x:c>
    </x:row>
    <x:row r="6" ht="76" customHeight="1">
      <x:c r="A6" s="3" t="str">
        <x:v>sp-0015</x:v>
      </x:c>
      <x:c r="B6" s="3" t="str">
        <x:v>Simulation</x:v>
      </x:c>
      <x:c r="C6" s="3" t="str">
        <x:v>research</x:v>
      </x:c>
      <x:c r="D6" s="3" t="str">
        <x:v>Includes computational modelling and simulation of plasma, components, or integrated tokamak behaviour for research and experiment support. Excludes physical experiment execution, diagnostics operation, and component fabrication.</x:v>
      </x:c>
      <x:c r="E6" s="3" t="str">
        <x:v>4 | high
supports_current_record
The evidence supports informational work without implying predictive sufficiency.</x:v>
      </x:c>
      <x:c r="F6" s="3" t="str">
        <x:v>3 | medium
supports_current_record
Retain 3 provisionally: fast repeated runs coexist with slower model development.</x:v>
      </x:c>
      <x:c r="G6" s="3" t="str">
        <x:v>3 | medium
supports_current_record
Both coders distinguish repeated computation from scarce high-fidelity work.</x:v>
      </x:c>
      <x:c r="H6" s="3" t="str">
        <x:v>4 | high
supports_current_record
No physical-process floor belongs in simulation S4 under this scope.</x:v>
      </x:c>
      <x:c r="I6" s="3" t="str">
        <x:v>3 | medium
recommends_value_change
Prefer 3 over seed 4 under the bounded escaped-output rule; this is a later S5 recommendation only.</x:v>
      </x:c>
      <x:c r="J6" s="3" t="str">
        <x:v>none</x:v>
      </x:c>
      <x:c r="K6" s="3" t="str">
        <x:v>No additional named gap; cell-specific evidence limits remain.</x:v>
      </x:c>
      <x:c r="L6" s="3" t="str">
        <x:v>fusion-src-007;fusion-src-022;fusion-src-023;fusion-src-024</x:v>
      </x:c>
      <x:c r="M6" s="3" t="str">
        <x:v>tokamak_research_to_pilot_plant_demonstration</x:v>
      </x:c>
      <x:c r="N6" s="3" t="str">
        <x:v>Tokamak research through component and subsystem development, materials qualification, facility build, commissioning, integrated demonstration, and pilot-plant readiness</x:v>
      </x:c>
      <x:c r="O6" s="3" t="str">
        <x:v>not_assessed</x:v>
      </x:c>
    </x:row>
    <x:row r="7" ht="76" customHeight="1">
      <x:c r="A7" s="9" t="str">
        <x:v>sp-0016</x:v>
      </x:c>
      <x:c r="B7" s="9" t="str">
        <x:v>Experiment selection</x:v>
      </x:c>
      <x:c r="C7" s="9" t="str">
        <x:v>research</x:v>
      </x:c>
      <x:c r="D7" s="9" t="str">
        <x:v>Includes selecting, prioritising, and sequencing tokamak experiments against stated research or pilot-development objectives. Excludes executing experiments, collecting diagnostics, and operating plasma controls.</x:v>
      </x:c>
      <x:c r="E7" s="9" t="str">
        <x:v>4 | high
supports_current_record
Information intensity is defensible from scope despite the selection-outcome gap.</x:v>
      </x:c>
      <x:c r="F7" s="9" t="str">
        <x:v>1-2 | low
requires_human_expert
Recommend 1-2 for later adjudication while asking a campaign specialist to identify the ordinary loop.</x:v>
      </x:c>
      <x:c r="G7" s="9" t="str">
        <x:v>2 | medium
supports_current_record
Owner preference for independent 2 handles the cost-throughput divergence.</x:v>
      </x:c>
      <x:c r="H7" s="9" t="str">
        <x:v>4 | high
supports_current_record
Support the owner preference for 4; do not manufacture closure of the empirical selection gap.</x:v>
      </x:c>
      <x:c r="I7" s="9" t="str">
        <x:v>2 | medium
supports_current_record
Material lost experimental opportunity supports 2 under the stated boundary assumption.</x:v>
      </x:c>
      <x:c r="J7" s="9" t="str">
        <x:v>gap-01</x:v>
      </x:c>
      <x:c r="K7" s="9" t="str">
        <x:v>No elapsed or costly selection-loop reduction study in the canonical set.</x:v>
      </x:c>
      <x:c r="L7" s="9" t="str">
        <x:v>fusion-src-018;fusion-src-019;fusion-src-024</x:v>
      </x:c>
      <x:c r="M7" s="9" t="str">
        <x:v>tokamak_research_to_pilot_plant_demonstration</x:v>
      </x:c>
      <x:c r="N7" s="9" t="str">
        <x:v>Tokamak research through component and subsystem development, materials qualification, facility build, commissioning, integrated demonstration, and pilot-plant readiness</x:v>
      </x:c>
      <x:c r="O7" s="9" t="str">
        <x:v>not_assessed</x:v>
      </x:c>
    </x:row>
    <x:row r="8" ht="92" customHeight="1">
      <x:c r="A8" s="3" t="str">
        <x:v>sp-0017</x:v>
      </x:c>
      <x:c r="B8" s="3" t="str">
        <x:v>Diagnostics</x:v>
      </x:c>
      <x:c r="C8" s="3" t="str">
        <x:v>research</x:v>
      </x:c>
      <x:c r="D8" s="3" t="str">
        <x:v>Includes design, preparation, use, and interpretation of measurement systems for pilot-relevant tokamak experiments. Excludes plasma-control actuation and plant-subsystem fabrication or integration.</x:v>
      </x:c>
      <x:c r="E8" s="3" t="str">
        <x:v>2-3 | medium
recommends_range
Do not generalize information-rich diagnostic benchmarks to the entire measurement workflow.</x:v>
      </x:c>
      <x:c r="F8" s="3" t="str">
        <x:v>2 | low
insufficient_evidence
Keep 2 provisional; no stage-level cadence is measured by the cited benchmarks.</x:v>
      </x:c>
      <x:c r="G8" s="3" t="str">
        <x:v>1-2 | low
recommends_range
Retain cost-throughput divergence rather than reading dataset size as affordable experimentation.</x:v>
      </x:c>
      <x:c r="H8" s="3" t="str">
        <x:v>2 | medium
supports_current_record
Support 2 with a narrowed physical rationale, excluding generic shutdown scheduling.</x:v>
      </x:c>
      <x:c r="I8" s="3" t="str">
        <x:v>2 | medium
supports_current_record
Material data loss and bounded downstream misdirection are compatible with 2, not a universal safe-instrument claim.</x:v>
      </x:c>
      <x:c r="J8" s="3" t="str">
        <x:v>none</x:v>
      </x:c>
      <x:c r="K8" s="3" t="str">
        <x:v>No additional named gap; cell-specific evidence limits remain.</x:v>
      </x:c>
      <x:c r="L8" s="3" t="str">
        <x:v>fusion-src-008;fusion-src-009;fusion-src-020;fusion-src-021;fusion-src-029</x:v>
      </x:c>
      <x:c r="M8" s="3" t="str">
        <x:v>tokamak_research_to_pilot_plant_demonstration</x:v>
      </x:c>
      <x:c r="N8" s="3" t="str">
        <x:v>Tokamak research through component and subsystem development, materials qualification, facility build, commissioning, integrated demonstration, and pilot-plant readiness</x:v>
      </x:c>
      <x:c r="O8" s="3" t="str">
        <x:v>not_assessed</x:v>
      </x:c>
    </x:row>
    <x:row r="9" ht="92" customHeight="1">
      <x:c r="A9" s="9" t="str">
        <x:v>sp-0018</x:v>
      </x:c>
      <x:c r="B9" s="9" t="str">
        <x:v>Plasma control</x:v>
      </x:c>
      <x:c r="C9" s="9" t="str">
        <x:v>development</x:v>
      </x:c>
      <x:c r="D9" s="9" t="str">
        <x:v>Includes development, testing, and operation of control methods and systems used to shape, sustain, or terminate plasma in the frozen tokamak pathway. Excludes diagnostic measurement and broader plant-subsystem construction.</x:v>
      </x:c>
      <x:c r="E9" s="9" t="str">
        <x:v>2 | high
supports_current_record
Support the owner preference for independent 2.</x:v>
      </x:c>
      <x:c r="F9" s="9" t="str">
        <x:v>2 | medium
supports_current_record
Support owner 2 qualitatively; do not use controller frequency as S2=3 or 4 evidence.</x:v>
      </x:c>
      <x:c r="G9" s="9" t="str">
        <x:v>1-2 | medium
recommends_range
Broaden the shared 1 to 1-2 without averaging or declaring unlimited live throughput.</x:v>
      </x:c>
      <x:c r="H9" s="9" t="str">
        <x:v>2 | medium
supports_current_record
Keep 2 as a mixed-process judgment, with no intrinsic floor inferred from administrative campaign spacing.</x:v>
      </x:c>
      <x:c r="I9" s="9" t="str">
        <x:v>0-1 | low
requires_human_expert
Keep 1 as plausible for bounded research-device harm, but retain 0 as a severe direct-consequence possibility pending protection review.</x:v>
      </x:c>
      <x:c r="J9" s="9" t="str">
        <x:v>none</x:v>
      </x:c>
      <x:c r="K9" s="9" t="str">
        <x:v>No additional named gap; cell-specific evidence limits remain.</x:v>
      </x:c>
      <x:c r="L9" s="9" t="str">
        <x:v>fusion-src-007;fusion-src-008;fusion-src-017;fusion-src-018;fusion-src-019;fusion-src-020</x:v>
      </x:c>
      <x:c r="M9" s="9" t="str">
        <x:v>tokamak_research_to_pilot_plant_demonstration</x:v>
      </x:c>
      <x:c r="N9" s="9" t="str">
        <x:v>Tokamak research through component and subsystem development, materials qualification, facility build, commissioning, integrated demonstration, and pilot-plant readiness</x:v>
      </x:c>
      <x:c r="O9" s="9" t="str">
        <x:v>not_assessed</x:v>
      </x:c>
    </x:row>
    <x:row r="10" ht="76" customHeight="1">
      <x:c r="A10" s="3" t="str">
        <x:v>sp-0019</x:v>
      </x:c>
      <x:c r="B10" s="3" t="str">
        <x:v>Materials discovery and screening</x:v>
      </x:c>
      <x:c r="C10" s="3" t="str">
        <x:v>research</x:v>
      </x:c>
      <x:c r="D10" s="3" t="str">
        <x:v>Includes identifying and screening candidate materials for pilot-relevant tokamak conditions. Excludes formal qualification, component fabrication, and production-scale supply.</x:v>
      </x:c>
      <x:c r="E10" s="3" t="str">
        <x:v>2-3 | low
recommends_range
Preserve 2-3 rather than assuming computational screening dominates.</x:v>
      </x:c>
      <x:c r="F10" s="3" t="str">
        <x:v>2 | low
insufficient_evidence
Do not promote coder agreement into an observed cadence.</x:v>
      </x:c>
      <x:c r="G10" s="3" t="str">
        <x:v>2 | low
insufficient_evidence
Keep the repeatable-but-resource-consuming candidate value without inventing empirical throughput.</x:v>
      </x:c>
      <x:c r="H10" s="3" t="str">
        <x:v>2 | low
supports_current_record
2 remains a bounded mixed-process recommendation, not a measured time share.</x:v>
      </x:c>
      <x:c r="I10" s="3" t="str">
        <x:v>3 | low
supports_current_record
The shared intermediate 3 is reasonable for recoverable screening with opportunity losses.</x:v>
      </x:c>
      <x:c r="J10" s="3" t="str">
        <x:v>none</x:v>
      </x:c>
      <x:c r="K10" s="3" t="str">
        <x:v>No additional named gap; cell-specific evidence limits remain.</x:v>
      </x:c>
      <x:c r="L10" s="3" t="str">
        <x:v>fusion-src-027;fusion-src-028</x:v>
      </x:c>
      <x:c r="M10" s="3" t="str">
        <x:v>tokamak_research_to_pilot_plant_demonstration</x:v>
      </x:c>
      <x:c r="N10" s="3" t="str">
        <x:v>Tokamak research through component and subsystem development, materials qualification, facility build, commissioning, integrated demonstration, and pilot-plant readiness</x:v>
      </x:c>
      <x:c r="O10" s="3" t="str">
        <x:v>not_assessed</x:v>
      </x:c>
    </x:row>
    <x:row r="11" ht="92" customHeight="1">
      <x:c r="A11" s="9" t="str">
        <x:v>sp-0020</x:v>
      </x:c>
      <x:c r="B11" s="9" t="str">
        <x:v>Materials qualification</x:v>
      </x:c>
      <x:c r="C11" s="9" t="str">
        <x:v>qualification</x:v>
      </x:c>
      <x:c r="D11" s="9" t="str">
        <x:v>Includes testing and qualifying candidate materials against pilot-relevant loads, environments, and requirements. Excludes initial discovery and screening, component fabrication, and commercial-fleet qualification.</x:v>
      </x:c>
      <x:c r="E11" s="9" t="str">
        <x:v>0 | medium
recommends_value_change
Prefer independent 0 over seed 1 because the rubric says primarily physical, not exclusively physical.</x:v>
      </x:c>
      <x:c r="F11" s="9" t="str">
        <x:v>0 | medium
supports_current_record
Support the owner provisional 0 on improved source identity and technical grounds; completed accepted qualification remains missing.</x:v>
      </x:c>
      <x:c r="G11" s="9" t="str">
        <x:v>0-1 | low
requires_pathway_variant
Preserve 0-1 and route by material/load-envelope qualification pathway rather than claiming zero parallelism.</x:v>
      </x:c>
      <x:c r="H11" s="9" t="str">
        <x:v>0 | medium
supports_current_record
Support owner provisional 0 while preserving the missing accepted dataset.</x:v>
      </x:c>
      <x:c r="I11" s="9" t="str">
        <x:v>0-1 | low
requires_human_expert
A bounded 0-1 requires a qualification specialist to distinguish direct irreversible evidence loss from later independent acceptance failures.</x:v>
      </x:c>
      <x:c r="J11" s="9" t="str">
        <x:v>gap-02</x:v>
      </x:c>
      <x:c r="K11" s="9" t="str">
        <x:v>Planned IFMIF-DONES irradiation plus examination is not completed accepted qualification.</x:v>
      </x:c>
      <x:c r="L11" s="9" t="str">
        <x:v>fusion-src-026;fusion-src-045;fusion-src-046</x:v>
      </x:c>
      <x:c r="M11" s="9" t="str">
        <x:v>tokamak_research_to_pilot_plant_demonstration</x:v>
      </x:c>
      <x:c r="N11" s="9" t="str">
        <x:v>Tokamak research through component and subsystem development, materials qualification, facility build, commissioning, integrated demonstration, and pilot-plant readiness</x:v>
      </x:c>
      <x:c r="O11" s="9" t="str">
        <x:v>not_assessed</x:v>
      </x:c>
    </x:row>
    <x:row r="12" ht="76" customHeight="1">
      <x:c r="A12" s="3" t="str">
        <x:v>sp-0021</x:v>
      </x:c>
      <x:c r="B12" s="3" t="str">
        <x:v>Magnets</x:v>
      </x:c>
      <x:c r="C12" s="3" t="str">
        <x:v>development</x:v>
      </x:c>
      <x:c r="D12" s="3" t="str">
        <x:v>Includes pilot-relevant magnet design, engineering, testing, and pre-integration under the tokamak pathway. Excludes fabrication after design maturity, site construction, integrated commissioning, and commercial-fleet rollout.</x:v>
      </x:c>
      <x:c r="E12" s="3" t="str">
        <x:v>2 | medium
supports_current_record
Both coders correctly retain a mixed digital/physical 2.</x:v>
      </x:c>
      <x:c r="F12" s="3" t="str">
        <x:v>1-2 | low
requires_pathway_variant
Route 1-2 by magnet technology and test scale instead of treating the shared 1 as measured.</x:v>
      </x:c>
      <x:c r="G12" s="3" t="str">
        <x:v>1 | low
supports_current_record
Keep the low intermediate 1 qualitatively without repeating invented campaign rates or currency amounts.</x:v>
      </x:c>
      <x:c r="H12" s="3" t="str">
        <x:v>1-2 | low
recommends_range
Retain 1-2 because the decisive physical sequence varies with the magnet route.</x:v>
      </x:c>
      <x:c r="I12" s="3" t="str">
        <x:v>1 | low
supports_current_record
Keep low tolerance without assigning all future plant consequences to magnet development.</x:v>
      </x:c>
      <x:c r="J12" s="3" t="str">
        <x:v>none</x:v>
      </x:c>
      <x:c r="K12" s="3" t="str">
        <x:v>No additional named gap; cell-specific evidence limits remain.</x:v>
      </x:c>
      <x:c r="L12" s="3" t="str">
        <x:v>fusion-src-012;fusion-src-014</x:v>
      </x:c>
      <x:c r="M12" s="3" t="str">
        <x:v>tokamak_research_to_pilot_plant_demonstration</x:v>
      </x:c>
      <x:c r="N12" s="3" t="str">
        <x:v>Tokamak research through component and subsystem development, materials qualification, facility build, commissioning, integrated demonstration, and pilot-plant readiness</x:v>
      </x:c>
      <x:c r="O12" s="3" t="str">
        <x:v>not_assessed</x:v>
      </x:c>
    </x:row>
    <x:row r="13" ht="76" customHeight="1">
      <x:c r="A13" s="9" t="str">
        <x:v>sp-0022</x:v>
      </x:c>
      <x:c r="B13" s="9" t="str">
        <x:v>Heating and current drive</x:v>
      </x:c>
      <x:c r="C13" s="9" t="str">
        <x:v>development</x:v>
      </x:c>
      <x:c r="D13" s="9" t="str">
        <x:v>Includes pilot-relevant heating and current-drive design, engineering, testing, and pre-integration under the tokamak pathway. Excludes fabrication after design maturity, site construction, integrated commissioning, and commercial-fleet rollout.</x:v>
      </x:c>
      <x:c r="E13" s="9" t="str">
        <x:v>2 | medium
supports_current_record
The mixed 2 is defensible from scope, with limited direct development evidence.</x:v>
      </x:c>
      <x:c r="F13" s="9" t="str">
        <x:v>1-2 | low
requires_pathway_variant
Preserve 1-2 and request a route-specific cycle rather than selecting from adjacent project durations.</x:v>
      </x:c>
      <x:c r="G13" s="9" t="str">
        <x:v>1 | low
supports_current_record
Keep 1 as a low-confidence structural candidate, without claiming a few campaigns per year as fact.</x:v>
      </x:c>
      <x:c r="H13" s="9" t="str">
        <x:v>1-2 | low
recommends_range
1-2 preserves the uncertainty about physical delay versus analytical work.</x:v>
      </x:c>
      <x:c r="I13" s="9" t="str">
        <x:v>1 | low
supports_current_record
A low intermediate 1 remains defensible as a conditional structural recommendation.</x:v>
      </x:c>
      <x:c r="J13" s="9" t="str">
        <x:v>none</x:v>
      </x:c>
      <x:c r="K13" s="9" t="str">
        <x:v>No additional named gap; cell-specific evidence limits remain.</x:v>
      </x:c>
      <x:c r="L13" s="9" t="str">
        <x:v>fusion-src-029;fusion-src-034</x:v>
      </x:c>
      <x:c r="M13" s="9" t="str">
        <x:v>tokamak_research_to_pilot_plant_demonstration</x:v>
      </x:c>
      <x:c r="N13" s="9" t="str">
        <x:v>Tokamak research through component and subsystem development, materials qualification, facility build, commissioning, integrated demonstration, and pilot-plant readiness</x:v>
      </x:c>
      <x:c r="O13" s="9" t="str">
        <x:v>not_assessed</x:v>
      </x:c>
    </x:row>
    <x:row r="14" ht="92" customHeight="1">
      <x:c r="A14" s="3" t="str">
        <x:v>sp-0023</x:v>
      </x:c>
      <x:c r="B14" s="3" t="str">
        <x:v>Plasma-facing components</x:v>
      </x:c>
      <x:c r="C14" s="3" t="str">
        <x:v>development</x:v>
      </x:c>
      <x:c r="D14" s="3" t="str">
        <x:v>Includes pilot-relevant plasma-facing component design, engineering, testing, and pre-integration under the tokamak pathway. Excludes fabrication after design maturity, site construction, integrated commissioning, and commercial-fleet rollout.</x:v>
      </x:c>
      <x:c r="E14" s="3" t="str">
        <x:v>2 | medium
supports_current_record
Both coders' mixed 2 remains defensible while the combined-environment gap stays open.</x:v>
      </x:c>
      <x:c r="F14" s="3" t="str">
        <x:v>0-1 | low
insufficient_evidence
Retain a low 0-1 candidate interval pending the defined development endpoint; no completed combined-environment result is inferred.</x:v>
      </x:c>
      <x:c r="G14" s="3" t="str">
        <x:v>0-1 | low
recommends_range
0-1 captures severe physical validation scarcity while preserving possible batch testing.</x:v>
      </x:c>
      <x:c r="H14" s="3" t="str">
        <x:v>0-1 | low
requires_human_expert
A specialist must establish which physical floors belong inside pre-integration development before narrowing 0-1.</x:v>
      </x:c>
      <x:c r="I14" s="3" t="str">
        <x:v>1-2 | low
requires_human_expert
Preserve 1-2; the seed excludes all escaped harm, while the independent rationale may import later plasma operation.</x:v>
      </x:c>
      <x:c r="J14" s="3" t="str">
        <x:v>gap-03</x:v>
      </x:c>
      <x:c r="K14" s="3" t="str">
        <x:v>No pilot-relevant combined neutron, heat-flux, cycling, erosion and maintainability result.</x:v>
      </x:c>
      <x:c r="L14" s="3" t="str">
        <x:v>fusion-src-023;fusion-src-026;fusion-src-027;fusion-src-045</x:v>
      </x:c>
      <x:c r="M14" s="3" t="str">
        <x:v>tokamak_research_to_pilot_plant_demonstration</x:v>
      </x:c>
      <x:c r="N14" s="3" t="str">
        <x:v>Tokamak research through component and subsystem development, materials qualification, facility build, commissioning, integrated demonstration, and pilot-plant readiness</x:v>
      </x:c>
      <x:c r="O14" s="3" t="str">
        <x:v>not_assessed</x:v>
      </x:c>
    </x:row>
    <x:row r="15" ht="92" customHeight="1">
      <x:c r="A15" s="9" t="str">
        <x:v>sp-0024</x:v>
      </x:c>
      <x:c r="B15" s="9" t="str">
        <x:v>Tritium and fuel cycle</x:v>
      </x:c>
      <x:c r="C15" s="9" t="str">
        <x:v>development</x:v>
      </x:c>
      <x:c r="D15" s="9" t="str">
        <x:v>Includes pilot-relevant tritium and fuel-cycle design, engineering, testing, and pre-integration under the tokamak pathway. Excludes fabrication after design maturity, site construction, integrated commissioning, and commercial-fleet rollout.</x:v>
      </x:c>
      <x:c r="E15" s="9" t="str">
        <x:v>1-2 | low
recommends_range
Broaden the shared 1 to 1-2 rather than infer work composition from missing pilot data.</x:v>
      </x:c>
      <x:c r="F15" s="9" t="str">
        <x:v>1 | low
supports_current_record
Support both original coder values at 1 without treating the open integrated outcome as a prerequisite for each pre-integration learning loop.</x:v>
      </x:c>
      <x:c r="G15" s="9" t="str">
        <x:v>1 | low
supports_current_record
Support owner 1 because the scope includes repeatable subsystem work as well as scarce integrated testing.</x:v>
      </x:c>
      <x:c r="H15" s="9" t="str">
        <x:v>1-2 | low
requires_human_expert
1-2 requires a fuel-cycle specialist to separate intrinsic processes from access delay and later integrated operation.</x:v>
      </x:c>
      <x:c r="I15" s="9" t="str">
        <x:v>1 | low
requires_human_expert
Owner 1 is technically plausible but needs a named specialist to substantiate the boundary before approval.</x:v>
      </x:c>
      <x:c r="J15" s="9" t="str">
        <x:v>gap-04</x:v>
      </x:c>
      <x:c r="K15" s="9" t="str">
        <x:v>No pilot-scale integrated breeder, extraction, processing and inventory closure result.</x:v>
      </x:c>
      <x:c r="L15" s="9" t="str">
        <x:v>fusion-src-028;fusion-src-038</x:v>
      </x:c>
      <x:c r="M15" s="9" t="str">
        <x:v>tokamak_research_to_pilot_plant_demonstration</x:v>
      </x:c>
      <x:c r="N15" s="9" t="str">
        <x:v>Tokamak research through component and subsystem development, materials qualification, facility build, commissioning, integrated demonstration, and pilot-plant readiness</x:v>
      </x:c>
      <x:c r="O15" s="9" t="str">
        <x:v>not_assessed</x:v>
      </x:c>
    </x:row>
    <x:row r="16" ht="76" customHeight="1">
      <x:c r="A16" s="3" t="str">
        <x:v>sp-0025</x:v>
      </x:c>
      <x:c r="B16" s="3" t="str">
        <x:v>Blankets</x:v>
      </x:c>
      <x:c r="C16" s="3" t="str">
        <x:v>development</x:v>
      </x:c>
      <x:c r="D16" s="3" t="str">
        <x:v>Includes pilot-relevant blanket design, engineering, testing, and pre-integration under the tokamak pathway. Excludes fabrication after design maturity, site construction, integrated commissioning, and commercial-fleet rollout.</x:v>
      </x:c>
      <x:c r="E16" s="3" t="str">
        <x:v>2 | medium
supports_current_record
Support the shared mixed 2 while keeping the integrated qualification gap explicit.</x:v>
      </x:c>
      <x:c r="F16" s="3" t="str">
        <x:v>0-1 | low
requires_human_expert
Preserve owner 0 and recommend 0-1 pending a named specialist's definition of the decisive development test.</x:v>
      </x:c>
      <x:c r="G16" s="3" t="str">
        <x:v>1 | low
supports_current_record
The shared low intermediate 1 preserves both repeatability and scarce decisive validation.</x:v>
      </x:c>
      <x:c r="H16" s="3" t="str">
        <x:v>0-1 | low
requires_pathway_variant
0-1 should be scoped by blanket concept rather than inherited from one generic unavailable test environment.</x:v>
      </x:c>
      <x:c r="I16" s="3" t="str">
        <x:v>1 | low
requires_human_expert
Support owner 1 as a provisional recommendation with a specialist gate, not automatic worst-case 0.</x:v>
      </x:c>
      <x:c r="J16" s="3" t="str">
        <x:v>gap-05</x:v>
      </x:c>
      <x:c r="K16" s="3" t="str">
        <x:v>Future TBM tests do not establish qualified power-plant blanket performance.</x:v>
      </x:c>
      <x:c r="L16" s="3" t="str">
        <x:v>fusion-src-028;fusion-src-038;fusion-src-045</x:v>
      </x:c>
      <x:c r="M16" s="3" t="str">
        <x:v>tokamak_research_to_pilot_plant_demonstration</x:v>
      </x:c>
      <x:c r="N16" s="3" t="str">
        <x:v>Tokamak research through component and subsystem development, materials qualification, facility build, commissioning, integrated demonstration, and pilot-plant readiness</x:v>
      </x:c>
      <x:c r="O16" s="3" t="str">
        <x:v>not_assessed</x:v>
      </x:c>
    </x:row>
    <x:row r="17" ht="92" customHeight="1">
      <x:c r="A17" s="9" t="str">
        <x:v>sp-0026</x:v>
      </x:c>
      <x:c r="B17" s="9" t="str">
        <x:v>Component fabrication</x:v>
      </x:c>
      <x:c r="C17" s="9" t="str">
        <x:v>scale_up</x:v>
      </x:c>
      <x:c r="D17" s="9" t="str">
        <x:v>Includes pilot-relevant fabrication after design maturity under the tokamak pathway. Excludes earlier subsystem design or materials qualification, site construction, integrated commissioning, and commercial-fleet production.</x:v>
      </x:c>
      <x:c r="E17" s="9" t="str">
        <x:v>0 | medium
recommends_value_change
Prefer independent 0 over seed 1 under the rubric's primarily physical definition.</x:v>
      </x:c>
      <x:c r="F17" s="9" t="str">
        <x:v>1 | low
supports_current_record
Keep the shared intermediate 1 as a structural candidate, not a measured duration.</x:v>
      </x:c>
      <x:c r="G17" s="9" t="str">
        <x:v>0-1 | low
recommends_range
Preserve 0-1 and reject both invented currency amounts and a claim of no possible repetition.</x:v>
      </x:c>
      <x:c r="H17" s="9" t="str">
        <x:v>0 | medium
supports_current_record
The shared 0 is a stage-structure judgment; AI may improve process work without eliminating material operations.</x:v>
      </x:c>
      <x:c r="I17" s="9" t="str">
        <x:v>1 | low
supports_current_record
Keep 1 for expensive and only partly recoverable fabrication loss, conditionally on the receiving inspection boundary.</x:v>
      </x:c>
      <x:c r="J17" s="9" t="str">
        <x:v>none</x:v>
      </x:c>
      <x:c r="K17" s="9" t="str">
        <x:v>No additional named gap; cell-specific evidence limits remain.</x:v>
      </x:c>
      <x:c r="L17" s="9" t="str">
        <x:v>fusion-src-014;fusion-src-037</x:v>
      </x:c>
      <x:c r="M17" s="9" t="str">
        <x:v>tokamak_research_to_pilot_plant_demonstration</x:v>
      </x:c>
      <x:c r="N17" s="9" t="str">
        <x:v>Tokamak research through component and subsystem development, materials qualification, facility build, commissioning, integrated demonstration, and pilot-plant readiness</x:v>
      </x:c>
      <x:c r="O17" s="9" t="str">
        <x:v>not_assessed</x:v>
      </x:c>
    </x:row>
    <x:row r="18" ht="92" customHeight="1">
      <x:c r="A18" s="3" t="str">
        <x:v>sp-0027</x:v>
      </x:c>
      <x:c r="B18" s="3" t="str">
        <x:v>Construction</x:v>
      </x:c>
      <x:c r="C18" s="3" t="str">
        <x:v>demonstration</x:v>
      </x:c>
      <x:c r="D18" s="3" t="str">
        <x:v>Includes site work, assembly, installation, and construction of the pilot-relevant tokamak facility. Excludes off-site component fabrication, earlier subsystem design, commissioning, and commercial-fleet rollout.</x:v>
      </x:c>
      <x:c r="E18" s="3" t="str">
        <x:v>0 | high
supports_current_record
Both 0s match the frozen construction scope.</x:v>
      </x:c>
      <x:c r="F18" s="3" t="str">
        <x:v>1 | medium
recommends_value_change
Recommend 1 over both preserved coder values at 0 because the repeated work-package loop, rather than total facility duration, is the V1 S2 unit.</x:v>
      </x:c>
      <x:c r="G18" s="3" t="str">
        <x:v>0 | medium
supports_current_record
Retain 0 for scarce major integrated attempts with a corrected, nonzero account of local throughput.</x:v>
      </x:c>
      <x:c r="H18" s="3" t="str">
        <x:v>0 | high
supports_current_record
Support 0 without treating the official baseline as an irreducible calendar duration.</x:v>
      </x:c>
      <x:c r="I18" s="3" t="str">
        <x:v>1 | medium
supports_current_record
Low intermediate tolerance is defensible, bounded at the independent construction controls.</x:v>
      </x:c>
      <x:c r="J18" s="3" t="str">
        <x:v>none</x:v>
      </x:c>
      <x:c r="K18" s="3" t="str">
        <x:v>No additional named gap; cell-specific evidence limits remain.</x:v>
      </x:c>
      <x:c r="L18" s="3" t="str">
        <x:v>fusion-src-036;fusion-src-037</x:v>
      </x:c>
      <x:c r="M18" s="3" t="str">
        <x:v>tokamak_research_to_pilot_plant_demonstration</x:v>
      </x:c>
      <x:c r="N18" s="3" t="str">
        <x:v>Tokamak research through component and subsystem development, materials qualification, facility build, commissioning, integrated demonstration, and pilot-plant readiness</x:v>
      </x:c>
      <x:c r="O18" s="3" t="str">
        <x:v>not_assessed</x:v>
      </x:c>
    </x:row>
    <x:row r="19" ht="76" customHeight="1">
      <x:c r="A19" s="9" t="str">
        <x:v>sp-0028</x:v>
      </x:c>
      <x:c r="B19" s="9" t="str">
        <x:v>Commissioning</x:v>
      </x:c>
      <x:c r="C19" s="9" t="str">
        <x:v>demonstration</x:v>
      </x:c>
      <x:c r="D19" s="9" t="str">
        <x:v>Includes bringing the assembled pilot-relevant tokamak facility into test operation, checking interfaces, and establishing integrated readiness. Excludes construction and the subsequent reliability-demonstration campaign.</x:v>
      </x:c>
      <x:c r="E19" s="9" t="str">
        <x:v>1 | medium
supports_current_record
Support the shared 1 without equating research readiness to pilot nuclear readiness.</x:v>
      </x:c>
      <x:c r="F19" s="9" t="str">
        <x:v>1-2 | low
recommends_range
Recommend 1-2: the seed itself describes weeks-to-months checks while selecting 1, so precision is unwarranted.</x:v>
      </x:c>
      <x:c r="G19" s="9" t="str">
        <x:v>0 | medium
supports_current_record
Support the owner preference for independent 0 at the integrated-attempt unit.</x:v>
      </x:c>
      <x:c r="H19" s="9" t="str">
        <x:v>0 | medium
supports_current_record
Retain 0 as a physical readiness floor without asserting fixed multi-week durations for every test.</x:v>
      </x:c>
      <x:c r="I19" s="9" t="str">
        <x:v>1 | low
requires_human_expert
Support owner 1 provisionally; obtain named expertise before canonical/public approval of this boundary.</x:v>
      </x:c>
      <x:c r="J19" s="9" t="str">
        <x:v>gap-06</x:v>
      </x:c>
      <x:c r="K19" s="9" t="str">
        <x:v>Research-device startup and target schedules do not measure this outcome.</x:v>
      </x:c>
      <x:c r="L19" s="9" t="str">
        <x:v>fusion-src-033;fusion-src-034;fusion-src-036</x:v>
      </x:c>
      <x:c r="M19" s="9" t="str">
        <x:v>tokamak_research_to_pilot_plant_demonstration</x:v>
      </x:c>
      <x:c r="N19" s="9" t="str">
        <x:v>Tokamak research through component and subsystem development, materials qualification, facility build, commissioning, integrated demonstration, and pilot-plant readiness</x:v>
      </x:c>
      <x:c r="O19" s="9" t="str">
        <x:v>not_assessed</x:v>
      </x:c>
    </x:row>
    <x:row r="20" ht="76" customHeight="1">
      <x:c r="A20" s="3" t="str">
        <x:v>sp-0029</x:v>
      </x:c>
      <x:c r="B20" s="3" t="str">
        <x:v>Reliability demonstration</x:v>
      </x:c>
      <x:c r="C20" s="3" t="str">
        <x:v>demonstration</x:v>
      </x:c>
      <x:c r="D20" s="3" t="str">
        <x:v>Includes sustained or repeated integrated testing used to demonstrate pilot-relevant reliability and operating performance. Excludes initial commissioning and routine commercial-fleet operations.</x:v>
      </x:c>
      <x:c r="E20" s="3" t="str">
        <x:v>0 | high
supports_current_record
Accumulated operating evidence is primarily physical even when measured reliability is still missing.</x:v>
      </x:c>
      <x:c r="F20" s="3" t="str">
        <x:v>0-1 | low
requires_human_expert
Keep a slow 0-1 candidate interval but do not assume the shared 0 proves a years-long statistical target.</x:v>
      </x:c>
      <x:c r="G20" s="3" t="str">
        <x:v>0 | low
supports_current_record
Retain 0 qualitatively for expensive limited integrated attempts, not a literal claim of no repetitions.</x:v>
      </x:c>
      <x:c r="H20" s="3" t="str">
        <x:v>0 | medium
supports_current_record
Keep 0 for operating-time dependence without inventing an availability threshold or exposure requirement.</x:v>
      </x:c>
      <x:c r="I20" s="3" t="str">
        <x:v>1 | low
requires_human_expert
Support owner 1 provisionally with an explicit distinction between informative failure and erroneous assurance.</x:v>
      </x:c>
      <x:c r="J20" s="3" t="str">
        <x:v>gap-07</x:v>
      </x:c>
      <x:c r="K20" s="3" t="str">
        <x:v>Pulse records do not measure integrated availability, maintenance life or capacity factor.</x:v>
      </x:c>
      <x:c r="L20" s="3" t="str">
        <x:v>fusion-src-011;fusion-src-032</x:v>
      </x:c>
      <x:c r="M20" s="3" t="str">
        <x:v>tokamak_research_to_pilot_plant_demonstration</x:v>
      </x:c>
      <x:c r="N20" s="3" t="str">
        <x:v>Tokamak research through component and subsystem development, materials qualification, facility build, commissioning, integrated demonstration, and pilot-plant readiness</x:v>
      </x:c>
      <x:c r="O20" s="3" t="str">
        <x:v>not_assessed</x:v>
      </x:c>
    </x:row>
    <x:row r="21" ht="92" customHeight="1">
      <x:c r="A21" s="9" t="str">
        <x:v>sp-0030</x:v>
      </x:c>
      <x:c r="B21" s="9" t="str">
        <x:v>Licensing</x:v>
      </x:c>
      <x:c r="C21" s="9" t="str">
        <x:v>qualification</x:v>
      </x:c>
      <x:c r="D21" s="9" t="str">
        <x:v>Includes licensing and regulatory approval work for the pilot-relevant tokamak facility and demonstration under the frozen pathway. Excludes grid connection and commercial-fleet licensing.</x:v>
      </x:c>
      <x:c r="E21" s="9" t="str">
        <x:v>4 | high
supports_current_record
Support owner 4 as a frozen-scope judgment without asserting a jurisdiction-free performance record.</x:v>
      </x:c>
      <x:c r="F21" s="9" t="str">
        <x:v>0-1 | low
requires_jurisdiction_variant
Carry 0-1 as an unadjudicated candidate range, not an empirical bound; do not select either owner-withheld value without a jurisdiction.</x:v>
      </x:c>
      <x:c r="G21" s="9" t="str">
        <x:v>0-1 | low
requires_jurisdiction_variant
Preserve 0-1 pending a jurisdiction-specific attempt definition, respecting the unresolved owner disposition.</x:v>
      </x:c>
      <x:c r="H21" s="9" t="str">
        <x:v>4 | high
supports_current_record
Support owner 4 while retaining jurisdiction-dependent S2/S3 and the missing completed case.</x:v>
      </x:c>
      <x:c r="I21" s="9" t="str">
        <x:v>0-2 | low
requires_human_expert
Preserve the owner's 0-2 disagreement; do not manufacture 1 from two model marks.</x:v>
      </x:c>
      <x:c r="J21" s="9" t="str">
        <x:v>gap-08</x:v>
      </x:c>
      <x:c r="K21" s="9" t="str">
        <x:v>Legal status is known; a comparable accepted full safety case and measured review loop are missing.</x:v>
      </x:c>
      <x:c r="L21" s="9" t="str">
        <x:v>fusion-src-004;fusion-src-039;fusion-src-040</x:v>
      </x:c>
      <x:c r="M21" s="9" t="str">
        <x:v>tokamak_research_to_pilot_plant_demonstration</x:v>
      </x:c>
      <x:c r="N21" s="9" t="str">
        <x:v>Tokamak research through component and subsystem development, materials qualification, facility build, commissioning, integrated demonstration, and pilot-plant readiness</x:v>
      </x:c>
      <x:c r="O21" s="9" t="str">
        <x:v>not_assessed</x:v>
      </x:c>
    </x:row>
    <x:row r="22" ht="76" customHeight="1">
      <x:c r="A22" s="3" t="str">
        <x:v>sp-0031</x:v>
      </x:c>
      <x:c r="B22" s="3" t="str">
        <x:v>Grid integration</x:v>
      </x:c>
      <x:c r="C22" s="3" t="str">
        <x:v>demonstration</x:v>
      </x:c>
      <x:c r="D22" s="3" t="str">
        <x:v>Includes connection and technical integration for pilot demonstration under the tokamak pathway. Excludes commercial fleet rollout and broader market diffusion.</x:v>
      </x:c>
      <x:c r="E22" s="3" t="str">
        <x:v>2 | low
supports_current_record
Keep the shared 2 as scope-based synthesis, not an observed grid-integration assessment.</x:v>
      </x:c>
      <x:c r="F22" s="3" t="str">
        <x:v>1-2 | low
insufficient_evidence
Retain a provisional 1-2 candidate interval pending a concrete connection case.</x:v>
      </x:c>
      <x:c r="G22" s="3" t="str">
        <x:v>0-1 | low
requires_pathway_variant
Preserve the owner-requested 0-1 interval and route greenfield versus reused-site connection scope.</x:v>
      </x:c>
      <x:c r="H22" s="3" t="str">
        <x:v>0-1 | low
requires_pathway_variant
Preserve the owner 0-1 interval until the physical site/pathway topology is specified.</x:v>
      </x:c>
      <x:c r="I22" s="3" t="str">
        <x:v>1 | low
requires_human_expert
Support owner 1 provisionally; the actual independent utility/plant boundary requires named review.</x:v>
      </x:c>
      <x:c r="J22" s="3" t="str">
        <x:v>gap-09</x:v>
      </x:c>
      <x:c r="K22" s="3" t="str">
        <x:v>No observed magnetic-confinement electricity-export and grid-operation case in the reviewed evidence set.</x:v>
      </x:c>
      <x:c r="L22" s="3" t="str">
        <x:v>fusion-src-031</x:v>
      </x:c>
      <x:c r="M22" s="3" t="str">
        <x:v>tokamak_research_to_pilot_plant_demonstration</x:v>
      </x:c>
      <x:c r="N22" s="3" t="str">
        <x:v>Tokamak research through component and subsystem development, materials qualification, facility build, commissioning, integrated demonstration, and pilot-plant readiness</x:v>
      </x:c>
      <x:c r="O22" s="3" t="str">
        <x:v>not_assessed</x:v>
      </x:c>
    </x:row>
  </x:sheetData>
  <x:mergeCells>
    <x:mergeCell ref="A1:D1"/>
    <x:mergeCell ref="A2:D2"/>
  </x:mergeCells>
  <x:pageMargins left="0.7" right="0.7" top="0.75" bottom="0.75" header="0.3" footer="0.3"/>
  <x:tableParts count="1">
    <x:tablePart xmlns:r="http://schemas.openxmlformats.org/officeDocument/2006/relationships" r:id="Rf707e40947c8497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11" hidden="0" customWidth="1"/>
    <x:col min="3" max="3" width="8" hidden="0" customWidth="1"/>
    <x:col min="4" max="4" width="11" hidden="0" customWidth="1"/>
    <x:col min="5" max="5" width="10" hidden="0" customWidth="1"/>
    <x:col min="6" max="6" width="10" hidden="0" customWidth="1"/>
    <x:col min="7" max="7" width="25" hidden="0" customWidth="1"/>
    <x:col min="8" max="8" width="13" hidden="0" customWidth="1"/>
    <x:col min="9" max="9" width="13" hidden="0" customWidth="1"/>
    <x:col min="10" max="10" width="10" hidden="0" customWidth="1"/>
    <x:col min="11" max="11" width="12" hidden="0" customWidth="1"/>
    <x:col min="12" max="12" width="29" hidden="0" customWidth="1"/>
    <x:col min="13" max="13" width="67" hidden="0" customWidth="1"/>
    <x:col min="14" max="14" width="27" hidden="0" customWidth="1"/>
    <x:col min="15" max="15" width="72" hidden="0" customWidth="1"/>
    <x:col min="16" max="16" width="15" hidden="0" customWidth="1"/>
    <x:col min="17" max="17" width="15" hidden="0" customWidth="1"/>
    <x:col min="18" max="18" width="29" hidden="0" customWidth="1"/>
    <x:col min="19" max="19" width="32" hidden="0" customWidth="1"/>
    <x:col min="20" max="20" width="45" hidden="0" customWidth="1"/>
    <x:col min="21" max="21" width="95" hidden="0" customWidth="1"/>
    <x:col min="22" max="22" width="95" hidden="0" customWidth="1"/>
    <x:col min="23" max="23" width="85" hidden="0" customWidth="1"/>
    <x:col min="24" max="24" width="85" hidden="0" customWidth="1"/>
    <x:col min="25" max="25" width="85" hidden="0" customWidth="1"/>
    <x:col min="26" max="26" width="25" hidden="0" customWidth="1"/>
    <x:col min="27" max="27" width="25" hidden="0" customWidth="1"/>
  </x:cols>
  <x:sheetData>
    <x:row r="1" ht="54" customHeight="1">
      <x:c r="A1" s="5" t="str">
        <x:v>Fusion | 90 dimensions</x:v>
      </x:c>
      <x:c r="B1" s="5"/>
      <x:c r="C1" s="5"/>
      <x:c r="D1" s="5"/>
      <x:c r="E1" s="5"/>
      <x:c r="F1" s="5"/>
      <x:c r="G1" s="5"/>
      <x:c r="H1" s="5"/>
      <x:c r="I1" s="5"/>
      <x:c r="J1" s="5"/>
      <x:c r="K1" s="5"/>
      <x:c r="L1" s="5"/>
      <x:c r="M1" s="5"/>
      <x:c r="N1" s="5"/>
      <x:c r="O1" s="5"/>
      <x:c r="P1" s="5"/>
      <x:c r="Q1" s="5"/>
      <x:c r="R1" s="5"/>
      <x:c r="S1" s="5"/>
      <x:c r="T1" s="5"/>
      <x:c r="U1" s="5"/>
      <x:c r="V1" s="5"/>
      <x:c r="W1" s="5"/>
      <x:c r="X1" s="5"/>
      <x:c r="Y1" s="5"/>
      <x:c r="Z1" s="5"/>
      <x:c r="AA1" s="5"/>
    </x:row>
    <x:row r="2" ht="43" customHeight="1">
      <x:c r="A2" s="6" t="str">
        <x:v>AI-assisted · recommendation only. Details extend to the right.</x:v>
      </x:c>
      <x:c r="B2" s="6"/>
      <x:c r="C2" s="6"/>
      <x:c r="D2" s="6"/>
      <x:c r="E2" s="6"/>
      <x:c r="F2" s="6"/>
      <x:c r="G2" s="6"/>
      <x:c r="H2" s="6"/>
      <x:c r="I2" s="6"/>
      <x:c r="J2" s="6"/>
      <x:c r="K2" s="6"/>
      <x:c r="L2" s="6"/>
      <x:c r="M2" s="6"/>
      <x:c r="N2" s="6"/>
      <x:c r="O2" s="6"/>
      <x:c r="P2" s="6"/>
      <x:c r="Q2" s="6"/>
      <x:c r="R2" s="6"/>
      <x:c r="S2" s="6"/>
      <x:c r="T2" s="6"/>
      <x:c r="U2" s="6"/>
      <x:c r="V2" s="6"/>
      <x:c r="W2" s="6"/>
      <x:c r="X2" s="6"/>
      <x:c r="Y2" s="6"/>
      <x:c r="Z2" s="6"/>
      <x:c r="AA2" s="6"/>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row>
    <x:row r="4" ht="43" customHeight="1">
      <x:c r="A4" s="8" t="str">
        <x:v>Profile ID</x:v>
      </x:c>
      <x:c r="B4" s="8" t="str">
        <x:v>Dimension</x:v>
      </x:c>
      <x:c r="C4" s="8" t="str">
        <x:v>Seed</x:v>
      </x:c>
      <x:c r="D4" s="8" t="str">
        <x:v>Independent</x:v>
      </x:c>
      <x:c r="E4" s="8" t="str">
        <x:v>Current low</x:v>
      </x:c>
      <x:c r="F4" s="8" t="str">
        <x:v>Current high</x:v>
      </x:c>
      <x:c r="G4" s="8" t="str">
        <x:v>Owner disposition</x:v>
      </x:c>
      <x:c r="H4" s="8" t="str">
        <x:v>Recommended low</x:v>
      </x:c>
      <x:c r="I4" s="8" t="str">
        <x:v>Recommended high</x:v>
      </x:c>
      <x:c r="J4" s="8" t="str">
        <x:v>Form</x:v>
      </x:c>
      <x:c r="K4" s="8" t="str">
        <x:v>Confidence</x:v>
      </x:c>
      <x:c r="L4" s="8" t="str">
        <x:v>Disposition</x:v>
      </x:c>
      <x:c r="M4" s="8" t="str">
        <x:v>Reason</x:v>
      </x:c>
      <x:c r="N4" s="8" t="str">
        <x:v>Canonical source IDs</x:v>
      </x:c>
      <x:c r="O4" s="8" t="str">
        <x:v>Revisit trigger</x:v>
      </x:c>
      <x:c r="P4" s="8" t="str">
        <x:v>Named expert required</x:v>
      </x:c>
      <x:c r="Q4" s="8" t="str">
        <x:v>Owner exception</x:v>
      </x:c>
      <x:c r="R4" s="8" t="str">
        <x:v>Workflow</x:v>
      </x:c>
      <x:c r="S4" s="8" t="str">
        <x:v>Evidence relation</x:v>
      </x:c>
      <x:c r="T4" s="8" t="str">
        <x:v>Evidence maturity</x:v>
      </x:c>
      <x:c r="U4" s="8" t="str">
        <x:v>Technical assessment</x:v>
      </x:c>
      <x:c r="V4" s="8" t="str">
        <x:v>Technical transferability</x:v>
      </x:c>
      <x:c r="W4" s="8" t="str">
        <x:v>S5 bounded consequence</x:v>
      </x:c>
      <x:c r="X4" s="8" t="str">
        <x:v>S5 next independent boundary</x:v>
      </x:c>
      <x:c r="Y4" s="8" t="str">
        <x:v>S5 excluded consequences</x:v>
      </x:c>
      <x:c r="Z4" s="8" t="str">
        <x:v>S5 boundary status</x:v>
      </x:c>
      <x:c r="AA4" s="8" t="str">
        <x:v>Review ID</x:v>
      </x:c>
    </x:row>
    <x:row r="5" ht="60" customHeight="1">
      <x:c r="A5" s="9" t="str">
        <x:v>sp-0014</x:v>
      </x:c>
      <x:c r="B5" s="9" t="str">
        <x:v>S1</x:v>
      </x:c>
      <x:c r="C5" s="12" t="n">
        <x:v>4</x:v>
      </x:c>
      <x:c r="D5" s="12" t="n">
        <x:v>4</x:v>
      </x:c>
      <x:c r="E5" s="12" t="n">
        <x:f>MIN(C5:D5)</x:f>
        <x:v>4</x:v>
      </x:c>
      <x:c r="F5" s="12" t="n">
        <x:f>MAX(C5:D5)</x:f>
        <x:v>4</x:v>
      </x:c>
      <x:c r="G5" s="9" t="str">
        <x:v>missing</x:v>
      </x:c>
      <x:c r="H5" s="12" t="n">
        <x:v>4</x:v>
      </x:c>
      <x:c r="I5" s="12" t="n">
        <x:v>4</x:v>
      </x:c>
      <x:c r="J5" s="9" t="str">
        <x:f>IF(H5=I5,"value","range")</x:f>
        <x:v>value</x:v>
      </x:c>
      <x:c r="K5" s="9" t="str">
        <x:v>high</x:v>
      </x:c>
      <x:c r="L5" s="9" t="str">
        <x:v>supports_current_record</x:v>
      </x:c>
      <x:c r="M5" s="9" t="str">
        <x:v>Both submissions correctly isolate analytical system design.</x:v>
      </x:c>
      <x:c r="N5" s="9" t="str">
        <x:v>fusion-src-028;fusion-src-024</x:v>
      </x:c>
      <x:c r="O5" s="9" t="str">
        <x:v>Revisit if detailed hardware engineering or physical tests enter the frozen design scope.</x:v>
      </x:c>
      <x:c r="P5" s="9" t="str">
        <x:v>false</x:v>
      </x:c>
      <x:c r="Q5" s="9" t="str">
        <x:v>false</x:v>
      </x:c>
      <x:c r="R5" s="9" t="str">
        <x:v>Theory and system design</x:v>
      </x:c>
      <x:c r="S5" s="9" t="str">
        <x:v>target_programme_status</x:v>
      </x:c>
      <x:c r="T5" s="9" t="str">
        <x:v>programme announcement</x:v>
      </x:c>
      <x:c r="U5" s="9" t="str">
        <x:v>Requirements, architecture and trade-off analysis are information work inside this scope; later embodiment does not lower S1. The 4 endpoint is primarily informational, not an assertion that designs are physically validated.</x:v>
      </x:c>
      <x:c r="V5" s="9" t="str">
        <x:v>DOE and STELLAR-AI describe programme intent; the frozen definition, not an outcome measurement, grounds this structural judgment.</x:v>
      </x:c>
      <x:c r="W5" s="9" t="str">
        <x:v>not_applicable</x:v>
      </x:c>
      <x:c r="X5" s="9" t="str">
        <x:v>not_applicable</x:v>
      </x:c>
      <x:c r="Y5" s="9" t="str">
        <x:v>not_applicable</x:v>
      </x:c>
      <x:c r="Z5" s="9" t="str">
        <x:v>not_applicable</x:v>
      </x:c>
      <x:c r="AA5" s="9" t="str">
        <x:v>dr-sp-0014-s1-v1</x:v>
      </x:c>
    </x:row>
    <x:row r="6" ht="60" customHeight="1">
      <x:c r="A6" s="3" t="str">
        <x:v>sp-0014</x:v>
      </x:c>
      <x:c r="B6" s="3" t="str">
        <x:v>S2</x:v>
      </x:c>
      <x:c r="C6" s="13" t="n">
        <x:v>3</x:v>
      </x:c>
      <x:c r="D6" s="13" t="n">
        <x:v>2</x:v>
      </x:c>
      <x:c r="E6" s="13" t="n">
        <x:f>MIN(C6:D6)</x:f>
        <x:v>2</x:v>
      </x:c>
      <x:c r="F6" s="13" t="n">
        <x:f>MAX(C6:D6)</x:f>
        <x:v>3</x:v>
      </x:c>
      <x:c r="G6" s="3" t="str">
        <x:v>missing</x:v>
      </x:c>
      <x:c r="H6" s="13" t="n">
        <x:v>2</x:v>
      </x:c>
      <x:c r="I6" s="13" t="n">
        <x:v>3</x:v>
      </x:c>
      <x:c r="J6" s="3" t="str">
        <x:f>IF(H6=I6,"value","range")</x:f>
        <x:v>range</x:v>
      </x:c>
      <x:c r="K6" s="3" t="str">
        <x:v>low</x:v>
      </x:c>
      <x:c r="L6" s="3" t="str">
        <x:v>recommends_range</x:v>
      </x:c>
      <x:c r="M6" s="3" t="str">
        <x:v>Retain the 2-3 disagreement rather than deriving cadence from programme dates.</x:v>
      </x:c>
      <x:c r="N6" s="3" t="str">
        <x:v>fusion-src-024;fusion-src-028</x:v>
      </x:c>
      <x:c r="O6" s="3" t="str">
        <x:v>Obtain a dated tokamak system-design revision log with model runtime and review time separated.</x:v>
      </x:c>
      <x:c r="P6" s="3" t="str">
        <x:v>false</x:v>
      </x:c>
      <x:c r="Q6" s="3" t="str">
        <x:v>false</x:v>
      </x:c>
      <x:c r="R6" s="3" t="str">
        <x:v>Theory and system design</x:v>
      </x:c>
      <x:c r="S6" s="3" t="str">
        <x:v>target_programme_status</x:v>
      </x:c>
      <x:c r="T6" s="3" t="str">
        <x:v>programme announcement</x:v>
      </x:c>
      <x:c r="U6" s="3" t="str">
        <x:v>The ordinary loop is coupled analysis, consistency checking and revision. A months-long simulation can be a component of that loop, but neither programme source measures an ordinary system-design revision.</x:v>
      </x:c>
      <x:c r="V6" s="3" t="str">
        <x:v>Planned platforms do not supply a distribution of completed design cycles. Days-to-weeks versus weeks-to-months remains unmeasured.</x:v>
      </x:c>
      <x:c r="W6" s="3" t="str">
        <x:v>not_applicable</x:v>
      </x:c>
      <x:c r="X6" s="3" t="str">
        <x:v>not_applicable</x:v>
      </x:c>
      <x:c r="Y6" s="3" t="str">
        <x:v>not_applicable</x:v>
      </x:c>
      <x:c r="Z6" s="3" t="str">
        <x:v>not_applicable</x:v>
      </x:c>
      <x:c r="AA6" s="3" t="str">
        <x:v>dr-sp-0014-s2-v1</x:v>
      </x:c>
    </x:row>
    <x:row r="7" ht="60" customHeight="1">
      <x:c r="A7" s="9" t="str">
        <x:v>sp-0014</x:v>
      </x:c>
      <x:c r="B7" s="9" t="str">
        <x:v>S3</x:v>
      </x:c>
      <x:c r="C7" s="12" t="n">
        <x:v>3</x:v>
      </x:c>
      <x:c r="D7" s="12" t="n">
        <x:v>3</x:v>
      </x:c>
      <x:c r="E7" s="12" t="n">
        <x:f>MIN(C7:D7)</x:f>
        <x:v>3</x:v>
      </x:c>
      <x:c r="F7" s="12" t="n">
        <x:f>MAX(C7:D7)</x:f>
        <x:v>3</x:v>
      </x:c>
      <x:c r="G7" s="9" t="str">
        <x:v>missing</x:v>
      </x:c>
      <x:c r="H7" s="12" t="n">
        <x:v>3</x:v>
      </x:c>
      <x:c r="I7" s="12" t="n">
        <x:v>3</x:v>
      </x:c>
      <x:c r="J7" s="9" t="str">
        <x:f>IF(H7=I7,"value","range")</x:f>
        <x:v>value</x:v>
      </x:c>
      <x:c r="K7" s="9" t="str">
        <x:v>medium</x:v>
      </x:c>
      <x:c r="L7" s="9" t="str">
        <x:v>supports_current_record</x:v>
      </x:c>
      <x:c r="M7" s="9" t="str">
        <x:v>3 is a qualitative intermediate judgment about cheap analysis with constrained decisive throughput.</x:v>
      </x:c>
      <x:c r="N7" s="9" t="str">
        <x:v>fusion-src-024;fusion-src-023</x:v>
      </x:c>
      <x:c r="O7" s="9" t="str">
        <x:v>Revisit with compute, staffing and concurrent design-study records for a scoped tokamak architecture.</x:v>
      </x:c>
      <x:c r="P7" s="9" t="str">
        <x:v>false</x:v>
      </x:c>
      <x:c r="Q7" s="9" t="str">
        <x:v>false</x:v>
      </x:c>
      <x:c r="R7" s="9" t="str">
        <x:v>Theory and system design</x:v>
      </x:c>
      <x:c r="S7" s="9" t="str">
        <x:v>target_programme_status;adjacent_stage_analogy</x:v>
      </x:c>
      <x:c r="T7" s="9" t="str">
        <x:v>programme announcement; proof of concept</x:v>
      </x:c>
      <x:c r="U7" s="9" t="str">
        <x:v>Marginal design alternatives cost analyst and compute time; parallel trade studies remain possible. High-fidelity analyses and coupled-system checking constrain throughput, preventing a near-free 4.</x:v>
      </x:c>
      <x:c r="V7" s="9" t="str">
        <x:v>HEAT-ML illustrates cheap repeated calculation only for a small SPARC geometry; it does not measure complete design-study cost or concurrency.</x:v>
      </x:c>
      <x:c r="W7" s="9" t="str">
        <x:v>not_applicable</x:v>
      </x:c>
      <x:c r="X7" s="9" t="str">
        <x:v>not_applicable</x:v>
      </x:c>
      <x:c r="Y7" s="9" t="str">
        <x:v>not_applicable</x:v>
      </x:c>
      <x:c r="Z7" s="9" t="str">
        <x:v>not_applicable</x:v>
      </x:c>
      <x:c r="AA7" s="9" t="str">
        <x:v>dr-sp-0014-s3-v1</x:v>
      </x:c>
    </x:row>
    <x:row r="8" ht="60" customHeight="1">
      <x:c r="A8" s="3" t="str">
        <x:v>sp-0014</x:v>
      </x:c>
      <x:c r="B8" s="3" t="str">
        <x:v>S4</x:v>
      </x:c>
      <x:c r="C8" s="13" t="n">
        <x:v>4</x:v>
      </x:c>
      <x:c r="D8" s="13" t="n">
        <x:v>4</x:v>
      </x:c>
      <x:c r="E8" s="13" t="n">
        <x:f>MIN(C8:D8)</x:f>
        <x:v>4</x:v>
      </x:c>
      <x:c r="F8" s="13" t="n">
        <x:f>MAX(C8:D8)</x:f>
        <x:v>4</x:v>
      </x:c>
      <x:c r="G8" s="3" t="str">
        <x:v>missing</x:v>
      </x:c>
      <x:c r="H8" s="13" t="n">
        <x:v>4</x:v>
      </x:c>
      <x:c r="I8" s="13" t="n">
        <x:v>4</x:v>
      </x:c>
      <x:c r="J8" s="3" t="str">
        <x:f>IF(H8=I8,"value","range")</x:f>
        <x:v>value</x:v>
      </x:c>
      <x:c r="K8" s="3" t="str">
        <x:v>high</x:v>
      </x:c>
      <x:c r="L8" s="3" t="str">
        <x:v>supports_current_record</x:v>
      </x:c>
      <x:c r="M8" s="3" t="str">
        <x:v>Both 4s remain defensible under the frozen exclusion boundary.</x:v>
      </x:c>
      <x:c r="N8" s="3" t="str">
        <x:v>fusion-src-028</x:v>
      </x:c>
      <x:c r="O8" s="3" t="str">
        <x:v>Revisit only if the stage scope gains a physical process, not merely a slower review queue.</x:v>
      </x:c>
      <x:c r="P8" s="3" t="str">
        <x:v>false</x:v>
      </x:c>
      <x:c r="Q8" s="3" t="str">
        <x:v>false</x:v>
      </x:c>
      <x:c r="R8" s="3" t="str">
        <x:v>Theory and system design</x:v>
      </x:c>
      <x:c r="S8" s="3" t="str">
        <x:v>target_programme_status</x:v>
      </x:c>
      <x:c r="T8" s="3" t="str">
        <x:v>programme announcement</x:v>
      </x:c>
      <x:c r="U8" s="3" t="str">
        <x:v>No physical transformation, fabrication or qualification is included in system-design work. Waiting for external experiment results may slow S2 but is not an intrinsic S4 floor.</x:v>
      </x:c>
      <x:c r="V8" s="3" t="str">
        <x:v>The roadmap identifies downstream physical challenges; it does not move them into this analytical stage.</x:v>
      </x:c>
      <x:c r="W8" s="3" t="str">
        <x:v>not_applicable</x:v>
      </x:c>
      <x:c r="X8" s="3" t="str">
        <x:v>not_applicable</x:v>
      </x:c>
      <x:c r="Y8" s="3" t="str">
        <x:v>not_applicable</x:v>
      </x:c>
      <x:c r="Z8" s="3" t="str">
        <x:v>not_applicable</x:v>
      </x:c>
      <x:c r="AA8" s="3" t="str">
        <x:v>dr-sp-0014-s4-v1</x:v>
      </x:c>
    </x:row>
    <x:row r="9" ht="60" customHeight="1">
      <x:c r="A9" s="9" t="str">
        <x:v>sp-0014</x:v>
      </x:c>
      <x:c r="B9" s="9" t="str">
        <x:v>S5</x:v>
      </x:c>
      <x:c r="C9" s="12" t="n">
        <x:v>3</x:v>
      </x:c>
      <x:c r="D9" s="12" t="n">
        <x:v>2</x:v>
      </x:c>
      <x:c r="E9" s="12" t="n">
        <x:f>MIN(C9:D9)</x:f>
        <x:v>2</x:v>
      </x:c>
      <x:c r="F9" s="12" t="n">
        <x:f>MAX(C9:D9)</x:f>
        <x:v>3</x:v>
      </x:c>
      <x:c r="G9" s="9" t="str">
        <x:v>missing</x:v>
      </x:c>
      <x:c r="H9" s="12" t="n">
        <x:v>2</x:v>
      </x:c>
      <x:c r="I9" s="12" t="n">
        <x:v>3</x:v>
      </x:c>
      <x:c r="J9" s="9" t="str">
        <x:f>IF(H9=I9,"value","range")</x:f>
        <x:v>range</x:v>
      </x:c>
      <x:c r="K9" s="9" t="str">
        <x:v>low</x:v>
      </x:c>
      <x:c r="L9" s="9" t="str">
        <x:v>recommends_range</x:v>
      </x:c>
      <x:c r="M9" s="9" t="str">
        <x:v>A bounded 2-3 recommendation preserves uncertainty about reversible but potentially material engineering rework.</x:v>
      </x:c>
      <x:c r="N9" s="9" t="str">
        <x:v>missing</x:v>
      </x:c>
      <x:c r="O9" s="9" t="str">
        <x:v>Identify the receiving design authority, independent review gate and commitments made before that gate.</x:v>
      </x:c>
      <x:c r="P9" s="9" t="str">
        <x:v>false</x:v>
      </x:c>
      <x:c r="Q9" s="9" t="str">
        <x:v>false</x:v>
      </x:c>
      <x:c r="R9" s="9" t="str">
        <x:v>Theory and system design</x:v>
      </x:c>
      <x:c r="S9" s="9" t="str">
        <x:v>absent</x:v>
      </x:c>
      <x:c r="T9" s="9" t="str">
        <x:v>No directly relevant canonical source located</x:v>
      </x:c>
      <x:c r="U9" s="9" t="str">
        <x:v>Incorrect system requirements can waste downstream engineering before independent design assurance. They do not directly inherit every later construction or plant-operation hazard.</x:v>
      </x:c>
      <x:c r="V9" s="9" t="str">
        <x:v>No canonical source establishes the next independent design assurance boundary or the loss caused before it.</x:v>
      </x:c>
      <x:c r="W9" s="9" t="str">
        <x:v>Misdirected trade studies and subsystem engineering before design verification.</x:v>
      </x:c>
      <x:c r="X9" s="9" t="str">
        <x:v>Independent subsystem design verification before fabrication release.</x:v>
      </x:c>
      <x:c r="Y9" s="9" t="str">
        <x:v>Construction losses or operating accidents requiring later independent design, fabrication or commissioning assurance to fail.</x:v>
      </x:c>
      <x:c r="Z9" s="9" t="str">
        <x:v>assumed_not_verified</x:v>
      </x:c>
      <x:c r="AA9" s="9" t="str">
        <x:v>dr-sp-0014-s5-v1</x:v>
      </x:c>
    </x:row>
    <x:row r="10" ht="44" customHeight="1">
      <x:c r="A10" s="3" t="str">
        <x:v>sp-0015</x:v>
      </x:c>
      <x:c r="B10" s="3" t="str">
        <x:v>S1</x:v>
      </x:c>
      <x:c r="C10" s="13" t="n">
        <x:v>4</x:v>
      </x:c>
      <x:c r="D10" s="13" t="n">
        <x:v>4</x:v>
      </x:c>
      <x:c r="E10" s="13" t="n">
        <x:f>MIN(C10:D10)</x:f>
        <x:v>4</x:v>
      </x:c>
      <x:c r="F10" s="13" t="n">
        <x:f>MAX(C10:D10)</x:f>
        <x:v>4</x:v>
      </x:c>
      <x:c r="G10" s="3" t="str">
        <x:v>missing</x:v>
      </x:c>
      <x:c r="H10" s="13" t="n">
        <x:v>4</x:v>
      </x:c>
      <x:c r="I10" s="13" t="n">
        <x:v>4</x:v>
      </x:c>
      <x:c r="J10" s="3" t="str">
        <x:f>IF(H10=I10,"value","range")</x:f>
        <x:v>value</x:v>
      </x:c>
      <x:c r="K10" s="3" t="str">
        <x:v>high</x:v>
      </x:c>
      <x:c r="L10" s="3" t="str">
        <x:v>supports_current_record</x:v>
      </x:c>
      <x:c r="M10" s="3" t="str">
        <x:v>The evidence supports informational work without implying predictive sufficiency.</x:v>
      </x:c>
      <x:c r="N10" s="3" t="str">
        <x:v>fusion-src-022;fusion-src-023;fusion-src-007</x:v>
      </x:c>
      <x:c r="O10" s="3" t="str">
        <x:v>Revisit on a scope change that incorporates physical experimental execution.</x:v>
      </x:c>
      <x:c r="P10" s="3" t="str">
        <x:v>false</x:v>
      </x:c>
      <x:c r="Q10" s="3" t="str">
        <x:v>false</x:v>
      </x:c>
      <x:c r="R10" s="3" t="str">
        <x:v>Simulation</x:v>
      </x:c>
      <x:c r="S10" s="3" t="str">
        <x:v>exact_stage</x:v>
      </x:c>
      <x:c r="T10" s="3" t="str">
        <x:v>proof of concept; observed experimental result</x:v>
      </x:c>
      <x:c r="U10" s="3" t="str">
        <x:v>Model construction, training, numerical solution and analysis are information processing. Physical validation is outside the simulation activity.</x:v>
      </x:c>
      <x:c r="V10" s="3" t="str">
        <x:v>Equilibrium and geometry-specific surrogate cases match the research simulation activity, not universal model fidelity.</x:v>
      </x:c>
      <x:c r="W10" s="3" t="str">
        <x:v>not_applicable</x:v>
      </x:c>
      <x:c r="X10" s="3" t="str">
        <x:v>not_applicable</x:v>
      </x:c>
      <x:c r="Y10" s="3" t="str">
        <x:v>not_applicable</x:v>
      </x:c>
      <x:c r="Z10" s="3" t="str">
        <x:v>not_applicable</x:v>
      </x:c>
      <x:c r="AA10" s="3" t="str">
        <x:v>dr-sp-0015-s1-v1</x:v>
      </x:c>
    </x:row>
    <x:row r="11" ht="60" customHeight="1">
      <x:c r="A11" s="9" t="str">
        <x:v>sp-0015</x:v>
      </x:c>
      <x:c r="B11" s="9" t="str">
        <x:v>S2</x:v>
      </x:c>
      <x:c r="C11" s="12" t="n">
        <x:v>3</x:v>
      </x:c>
      <x:c r="D11" s="12" t="n">
        <x:v>3</x:v>
      </x:c>
      <x:c r="E11" s="12" t="n">
        <x:f>MIN(C11:D11)</x:f>
        <x:v>3</x:v>
      </x:c>
      <x:c r="F11" s="12" t="n">
        <x:f>MAX(C11:D11)</x:f>
        <x:v>3</x:v>
      </x:c>
      <x:c r="G11" s="9" t="str">
        <x:v>missing</x:v>
      </x:c>
      <x:c r="H11" s="12" t="n">
        <x:v>3</x:v>
      </x:c>
      <x:c r="I11" s="12" t="n">
        <x:v>3</x:v>
      </x:c>
      <x:c r="J11" s="9" t="str">
        <x:f>IF(H11=I11,"value","range")</x:f>
        <x:v>value</x:v>
      </x:c>
      <x:c r="K11" s="9" t="str">
        <x:v>medium</x:v>
      </x:c>
      <x:c r="L11" s="9" t="str">
        <x:v>supports_current_record</x:v>
      </x:c>
      <x:c r="M11" s="9" t="str">
        <x:v>Retain 3 provisionally: fast repeated runs coexist with slower model development.</x:v>
      </x:c>
      <x:c r="N11" s="9" t="str">
        <x:v>fusion-src-023;fusion-src-022;fusion-src-024</x:v>
      </x:c>
      <x:c r="O11" s="9" t="str">
        <x:v>Obtain end-to-end timed simulation workflows including setup, training, error checking and reruns.</x:v>
      </x:c>
      <x:c r="P11" s="9" t="str">
        <x:v>false</x:v>
      </x:c>
      <x:c r="Q11" s="9" t="str">
        <x:v>false</x:v>
      </x:c>
      <x:c r="R11" s="9" t="str">
        <x:v>Simulation</x:v>
      </x:c>
      <x:c r="S11" s="9" t="str">
        <x:v>exact_stage;target_programme_status</x:v>
      </x:c>
      <x:c r="T11" s="9" t="str">
        <x:v>proof of concept; programme announcement</x:v>
      </x:c>
      <x:c r="U11" s="9" t="str">
        <x:v>HEAT-ML shortens one inference calculation; training, setup, checking and higher-fidelity reruns still belong in the ordinary learn-test-revise loop. Milliseconds alone do not justify 4 for all simulation.</x:v>
      </x:c>
      <x:c r="V11" s="9" t="str">
        <x:v>The 15-tile SPARC result is exact for that calculation; transfer to integrated tokamak models and total workflow time is limited.</x:v>
      </x:c>
      <x:c r="W11" s="9" t="str">
        <x:v>not_applicable</x:v>
      </x:c>
      <x:c r="X11" s="9" t="str">
        <x:v>not_applicable</x:v>
      </x:c>
      <x:c r="Y11" s="9" t="str">
        <x:v>not_applicable</x:v>
      </x:c>
      <x:c r="Z11" s="9" t="str">
        <x:v>not_applicable</x:v>
      </x:c>
      <x:c r="AA11" s="9" t="str">
        <x:v>dr-sp-0015-s2-v1</x:v>
      </x:c>
    </x:row>
    <x:row r="12" ht="60" customHeight="1">
      <x:c r="A12" s="3" t="str">
        <x:v>sp-0015</x:v>
      </x:c>
      <x:c r="B12" s="3" t="str">
        <x:v>S3</x:v>
      </x:c>
      <x:c r="C12" s="13" t="n">
        <x:v>3</x:v>
      </x:c>
      <x:c r="D12" s="13" t="n">
        <x:v>3</x:v>
      </x:c>
      <x:c r="E12" s="13" t="n">
        <x:f>MIN(C12:D12)</x:f>
        <x:v>3</x:v>
      </x:c>
      <x:c r="F12" s="13" t="n">
        <x:f>MAX(C12:D12)</x:f>
        <x:v>3</x:v>
      </x:c>
      <x:c r="G12" s="3" t="str">
        <x:v>missing</x:v>
      </x:c>
      <x:c r="H12" s="13" t="n">
        <x:v>3</x:v>
      </x:c>
      <x:c r="I12" s="13" t="n">
        <x:v>3</x:v>
      </x:c>
      <x:c r="J12" s="3" t="str">
        <x:f>IF(H12=I12,"value","range")</x:f>
        <x:v>value</x:v>
      </x:c>
      <x:c r="K12" s="3" t="str">
        <x:v>medium</x:v>
      </x:c>
      <x:c r="L12" s="3" t="str">
        <x:v>supports_current_record</x:v>
      </x:c>
      <x:c r="M12" s="3" t="str">
        <x:v>Both coders distinguish repeated computation from scarce high-fidelity work.</x:v>
      </x:c>
      <x:c r="N12" s="3" t="str">
        <x:v>fusion-src-023;fusion-src-022</x:v>
      </x:c>
      <x:c r="O12" s="3" t="str">
        <x:v>Revisit with all-in compute cost and attainable concurrent runs across the scoped simulation workload.</x:v>
      </x:c>
      <x:c r="P12" s="3" t="str">
        <x:v>false</x:v>
      </x:c>
      <x:c r="Q12" s="3" t="str">
        <x:v>false</x:v>
      </x:c>
      <x:c r="R12" s="3" t="str">
        <x:v>Simulation</x:v>
      </x:c>
      <x:c r="S12" s="3" t="str">
        <x:v>exact_stage</x:v>
      </x:c>
      <x:c r="T12" s="3" t="str">
        <x:v>proof of concept</x:v>
      </x:c>
      <x:c r="U12" s="3" t="str">
        <x:v>Marginal surrogate runs are cheap and parallel, but creating the reference simulations, training data and expert setup is not free. High-fidelity jobs constrain attainable throughput even when inference is inexpensive.</x:v>
      </x:c>
      <x:c r="V12" s="3" t="str">
        <x:v>The approximately 1,000 reference simulations are a training-set count, not a throughput rate or a cost estimate.</x:v>
      </x:c>
      <x:c r="W12" s="3" t="str">
        <x:v>not_applicable</x:v>
      </x:c>
      <x:c r="X12" s="3" t="str">
        <x:v>not_applicable</x:v>
      </x:c>
      <x:c r="Y12" s="3" t="str">
        <x:v>not_applicable</x:v>
      </x:c>
      <x:c r="Z12" s="3" t="str">
        <x:v>not_applicable</x:v>
      </x:c>
      <x:c r="AA12" s="3" t="str">
        <x:v>dr-sp-0015-s3-v1</x:v>
      </x:c>
    </x:row>
    <x:row r="13" ht="44" customHeight="1">
      <x:c r="A13" s="9" t="str">
        <x:v>sp-0015</x:v>
      </x:c>
      <x:c r="B13" s="9" t="str">
        <x:v>S4</x:v>
      </x:c>
      <x:c r="C13" s="12" t="n">
        <x:v>4</x:v>
      </x:c>
      <x:c r="D13" s="12" t="n">
        <x:v>4</x:v>
      </x:c>
      <x:c r="E13" s="12" t="n">
        <x:f>MIN(C13:D13)</x:f>
        <x:v>4</x:v>
      </x:c>
      <x:c r="F13" s="12" t="n">
        <x:f>MAX(C13:D13)</x:f>
        <x:v>4</x:v>
      </x:c>
      <x:c r="G13" s="9" t="str">
        <x:v>missing</x:v>
      </x:c>
      <x:c r="H13" s="12" t="n">
        <x:v>4</x:v>
      </x:c>
      <x:c r="I13" s="12" t="n">
        <x:v>4</x:v>
      </x:c>
      <x:c r="J13" s="9" t="str">
        <x:f>IF(H13=I13,"value","range")</x:f>
        <x:v>value</x:v>
      </x:c>
      <x:c r="K13" s="9" t="str">
        <x:v>high</x:v>
      </x:c>
      <x:c r="L13" s="9" t="str">
        <x:v>supports_current_record</x:v>
      </x:c>
      <x:c r="M13" s="9" t="str">
        <x:v>No physical-process floor belongs in simulation S4 under this scope.</x:v>
      </x:c>
      <x:c r="N13" s="9" t="str">
        <x:v>fusion-src-023;fusion-src-022</x:v>
      </x:c>
      <x:c r="O13" s="9" t="str">
        <x:v>Revisit if the stage is explicitly expanded to include experimental validation.</x:v>
      </x:c>
      <x:c r="P13" s="9" t="str">
        <x:v>false</x:v>
      </x:c>
      <x:c r="Q13" s="9" t="str">
        <x:v>false</x:v>
      </x:c>
      <x:c r="R13" s="9" t="str">
        <x:v>Simulation</x:v>
      </x:c>
      <x:c r="S13" s="9" t="str">
        <x:v>exact_stage</x:v>
      </x:c>
      <x:c r="T13" s="9" t="str">
        <x:v>proof of concept</x:v>
      </x:c>
      <x:c r="U13" s="9" t="str">
        <x:v>Compute runtime and HPC allocation can slow feedback but are not construction, irradiation or qualification floors inside this stage. Physical experimentation remains excluded.</x:v>
      </x:c>
      <x:c r="V13" s="9" t="str">
        <x:v>The narrow surrogates support digital execution; the 4 is a scope judgment, not proof that all simulations are fast.</x:v>
      </x:c>
      <x:c r="W13" s="9" t="str">
        <x:v>not_applicable</x:v>
      </x:c>
      <x:c r="X13" s="9" t="str">
        <x:v>not_applicable</x:v>
      </x:c>
      <x:c r="Y13" s="9" t="str">
        <x:v>not_applicable</x:v>
      </x:c>
      <x:c r="Z13" s="9" t="str">
        <x:v>not_applicable</x:v>
      </x:c>
      <x:c r="AA13" s="9" t="str">
        <x:v>dr-sp-0015-s4-v1</x:v>
      </x:c>
    </x:row>
    <x:row r="14" ht="60" customHeight="1">
      <x:c r="A14" s="3" t="str">
        <x:v>sp-0015</x:v>
      </x:c>
      <x:c r="B14" s="3" t="str">
        <x:v>S5</x:v>
      </x:c>
      <x:c r="C14" s="13" t="n">
        <x:v>4</x:v>
      </x:c>
      <x:c r="D14" s="13" t="n">
        <x:v>3</x:v>
      </x:c>
      <x:c r="E14" s="13" t="n">
        <x:f>MIN(C14:D14)</x:f>
        <x:v>3</x:v>
      </x:c>
      <x:c r="F14" s="13" t="n">
        <x:f>MAX(C14:D14)</x:f>
        <x:v>4</x:v>
      </x:c>
      <x:c r="G14" s="3" t="str">
        <x:v>missing</x:v>
      </x:c>
      <x:c r="H14" s="13" t="n">
        <x:v>3</x:v>
      </x:c>
      <x:c r="I14" s="13" t="n">
        <x:v>3</x:v>
      </x:c>
      <x:c r="J14" s="3" t="str">
        <x:f>IF(H14=I14,"value","range")</x:f>
        <x:v>value</x:v>
      </x:c>
      <x:c r="K14" s="3" t="str">
        <x:v>medium</x:v>
      </x:c>
      <x:c r="L14" s="3" t="str">
        <x:v>recommends_value_change</x:v>
      </x:c>
      <x:c r="M14" s="3" t="str">
        <x:v>Prefer 3 over seed 4 under the bounded escaped-output rule; this is a later S5 recommendation only.</x:v>
      </x:c>
      <x:c r="N14" s="3" t="str">
        <x:v>fusion-src-022;fusion-src-023</x:v>
      </x:c>
      <x:c r="O14" s="3" t="str">
        <x:v>Verify the independent model validation and experiment-release gates for the intended use.</x:v>
      </x:c>
      <x:c r="P14" s="3" t="str">
        <x:v>false</x:v>
      </x:c>
      <x:c r="Q14" s="3" t="str">
        <x:v>true</x:v>
      </x:c>
      <x:c r="R14" s="3" t="str">
        <x:v>Simulation</x:v>
      </x:c>
      <x:c r="S14" s="3" t="str">
        <x:v>exact_stage</x:v>
      </x:c>
      <x:c r="T14" s="3" t="str">
        <x:v>proof of concept</x:v>
      </x:c>
      <x:c r="U14" s="3" t="str">
        <x:v>A wrong simulation output can misdirect immediate analysis or experiment planning before independent model/use validation. Rerun reversibility does not make all escaped errors low-externality; remote hardware losses stop at that validation boundary.</x:v>
      </x:c>
      <x:c r="V14" s="3" t="str">
        <x:v>The papers establish narrow model use, not measured error losses or safety certification. Consequence allocation is qualitative.</x:v>
      </x:c>
      <x:c r="W14" s="3" t="str">
        <x:v>Wasted calculations and misdirected immediate design or experiment planning.</x:v>
      </x:c>
      <x:c r="X14" s="3" t="str">
        <x:v>Independent model/use validation before an experiment or engineering output is released.</x:v>
      </x:c>
      <x:c r="Y14" s="3" t="str">
        <x:v>Machine damage after an independent experiment-release or engineering verification failure; do not charge that damage again here.</x:v>
      </x:c>
      <x:c r="Z14" s="3" t="str">
        <x:v>assumed_not_verified</x:v>
      </x:c>
      <x:c r="AA14" s="3" t="str">
        <x:v>dr-sp-0015-s5-v1</x:v>
      </x:c>
    </x:row>
    <x:row r="15" ht="44" customHeight="1">
      <x:c r="A15" s="9" t="str">
        <x:v>sp-0016</x:v>
      </x:c>
      <x:c r="B15" s="9" t="str">
        <x:v>S1</x:v>
      </x:c>
      <x:c r="C15" s="12" t="n">
        <x:v>4</x:v>
      </x:c>
      <x:c r="D15" s="12" t="n">
        <x:v>4</x:v>
      </x:c>
      <x:c r="E15" s="12" t="n">
        <x:f>MIN(C15:D15)</x:f>
        <x:v>4</x:v>
      </x:c>
      <x:c r="F15" s="12" t="n">
        <x:f>MAX(C15:D15)</x:f>
        <x:v>4</x:v>
      </x:c>
      <x:c r="G15" s="9" t="str">
        <x:v>missing</x:v>
      </x:c>
      <x:c r="H15" s="12" t="n">
        <x:v>4</x:v>
      </x:c>
      <x:c r="I15" s="12" t="n">
        <x:v>4</x:v>
      </x:c>
      <x:c r="J15" s="9" t="str">
        <x:f>IF(H15=I15,"value","range")</x:f>
        <x:v>value</x:v>
      </x:c>
      <x:c r="K15" s="9" t="str">
        <x:v>high</x:v>
      </x:c>
      <x:c r="L15" s="9" t="str">
        <x:v>supports_current_record</x:v>
      </x:c>
      <x:c r="M15" s="9" t="str">
        <x:v>Information intensity is defensible from scope despite the selection-outcome gap.</x:v>
      </x:c>
      <x:c r="N15" s="9" t="str">
        <x:v>fusion-src-018;fusion-src-019;fusion-src-024</x:v>
      </x:c>
      <x:c r="O15" s="9" t="str">
        <x:v>Revisit if experiment execution becomes part of the stage definition.</x:v>
      </x:c>
      <x:c r="P15" s="9" t="str">
        <x:v>false</x:v>
      </x:c>
      <x:c r="Q15" s="9" t="str">
        <x:v>false</x:v>
      </x:c>
      <x:c r="R15" s="9" t="str">
        <x:v>Experiment selection</x:v>
      </x:c>
      <x:c r="S15" s="9" t="str">
        <x:v>adjacent_stage_analogy;target_programme_status</x:v>
      </x:c>
      <x:c r="T15" s="9" t="str">
        <x:v>observed experimental result; programme announcement</x:v>
      </x:c>
      <x:c r="U15" s="9" t="str">
        <x:v>Ranking and sequencing experiments are inference and decision work. Executing the chosen shots, diagnostics and control are explicitly outside the stage.</x:v>
      </x:c>
      <x:c r="V15" s="9" t="str">
        <x:v>Live control and adaptive experiments illustrate receiving activities, not an observed experiment-selection workflow.</x:v>
      </x:c>
      <x:c r="W15" s="9" t="str">
        <x:v>not_applicable</x:v>
      </x:c>
      <x:c r="X15" s="9" t="str">
        <x:v>not_applicable</x:v>
      </x:c>
      <x:c r="Y15" s="9" t="str">
        <x:v>not_applicable</x:v>
      </x:c>
      <x:c r="Z15" s="9" t="str">
        <x:v>not_applicable</x:v>
      </x:c>
      <x:c r="AA15" s="9" t="str">
        <x:v>dr-sp-0016-s1-v1</x:v>
      </x:c>
    </x:row>
    <x:row r="16" ht="60" customHeight="1">
      <x:c r="A16" s="3" t="str">
        <x:v>sp-0016</x:v>
      </x:c>
      <x:c r="B16" s="3" t="str">
        <x:v>S2</x:v>
      </x:c>
      <x:c r="C16" s="13" t="n">
        <x:v>1</x:v>
      </x:c>
      <x:c r="D16" s="13" t="n">
        <x:v>2</x:v>
      </x:c>
      <x:c r="E16" s="13" t="n">
        <x:f>MIN(C16:D16)</x:f>
        <x:v>1</x:v>
      </x:c>
      <x:c r="F16" s="13" t="n">
        <x:f>MAX(C16:D16)</x:f>
        <x:v>2</x:v>
      </x:c>
      <x:c r="G16" s="3" t="str">
        <x:v>prefer_seed</x:v>
      </x:c>
      <x:c r="H16" s="13" t="n">
        <x:v>1</x:v>
      </x:c>
      <x:c r="I16" s="13" t="n">
        <x:v>2</x:v>
      </x:c>
      <x:c r="J16" s="3" t="str">
        <x:f>IF(H16=I16,"value","range")</x:f>
        <x:v>range</x:v>
      </x:c>
      <x:c r="K16" s="3" t="str">
        <x:v>low</x:v>
      </x:c>
      <x:c r="L16" s="3" t="str">
        <x:v>requires_human_expert</x:v>
      </x:c>
      <x:c r="M16" s="3" t="str">
        <x:v>Recommend 1-2 for later adjudication while asking a campaign specialist to identify the ordinary loop.</x:v>
      </x:c>
      <x:c r="N16" s="3" t="str">
        <x:v>fusion-src-018;fusion-src-019;fusion-src-024</x:v>
      </x:c>
      <x:c r="O16" s="3" t="str">
        <x:v>A facility-linked selection log with proposal, shot, analysis and revision dates, including unsuccessful selections.</x:v>
      </x:c>
      <x:c r="P16" s="3" t="str">
        <x:v>true</x:v>
      </x:c>
      <x:c r="Q16" s="3" t="str">
        <x:v>true</x:v>
      </x:c>
      <x:c r="R16" s="3" t="str">
        <x:v>Experiment selection</x:v>
      </x:c>
      <x:c r="S16" s="3" t="str">
        <x:v>adjacent_stage_analogy;target_programme_status</x:v>
      </x:c>
      <x:c r="T16" s="3" t="str">
        <x:v>observed experimental result; programme announcement</x:v>
      </x:c>
      <x:c r="U16" s="3" t="str">
        <x:v>Selection quality is learned from completed shots and analysis, not the speed of editing a plan. The owner preference for 1 is preserved; the canonical set does not discriminate many-month campaign feedback from weeks-to-months feedback.</x:v>
      </x:c>
      <x:c r="V16" s="3" t="str">
        <x:v>Control demonstrations and a proposed platform do not measure an AI-shortened experiment-selection cycle.</x:v>
      </x:c>
      <x:c r="W16" s="3" t="str">
        <x:v>not_applicable</x:v>
      </x:c>
      <x:c r="X16" s="3" t="str">
        <x:v>not_applicable</x:v>
      </x:c>
      <x:c r="Y16" s="3" t="str">
        <x:v>not_applicable</x:v>
      </x:c>
      <x:c r="Z16" s="3" t="str">
        <x:v>not_applicable</x:v>
      </x:c>
      <x:c r="AA16" s="3" t="str">
        <x:v>dr-sp-0016-s2-v1</x:v>
      </x:c>
    </x:row>
    <x:row r="17" ht="60" customHeight="1">
      <x:c r="A17" s="9" t="str">
        <x:v>sp-0016</x:v>
      </x:c>
      <x:c r="B17" s="9" t="str">
        <x:v>S3</x:v>
      </x:c>
      <x:c r="C17" s="12" t="n">
        <x:v>1</x:v>
      </x:c>
      <x:c r="D17" s="12" t="n">
        <x:v>2</x:v>
      </x:c>
      <x:c r="E17" s="12" t="n">
        <x:f>MIN(C17:D17)</x:f>
        <x:v>1</x:v>
      </x:c>
      <x:c r="F17" s="12" t="n">
        <x:f>MAX(C17:D17)</x:f>
        <x:v>2</x:v>
      </x:c>
      <x:c r="G17" s="9" t="str">
        <x:v>prefer_independent</x:v>
      </x:c>
      <x:c r="H17" s="12" t="n">
        <x:v>2</x:v>
      </x:c>
      <x:c r="I17" s="12" t="n">
        <x:v>2</x:v>
      </x:c>
      <x:c r="J17" s="9" t="str">
        <x:f>IF(H17=I17,"value","range")</x:f>
        <x:v>value</x:v>
      </x:c>
      <x:c r="K17" s="9" t="str">
        <x:v>medium</x:v>
      </x:c>
      <x:c r="L17" s="9" t="str">
        <x:v>supports_current_record</x:v>
      </x:c>
      <x:c r="M17" s="9" t="str">
        <x:v>Owner preference for independent 2 handles the cost-throughput divergence.</x:v>
      </x:c>
      <x:c r="N17" s="9" t="str">
        <x:v>fusion-src-018;fusion-src-019</x:v>
      </x:c>
      <x:c r="O17" s="9" t="str">
        <x:v>Obtain marginal selection/shot costs and validated selection attempts per campaign, without counting candidate plans as completed tests.</x:v>
      </x:c>
      <x:c r="P17" s="9" t="str">
        <x:v>false</x:v>
      </x:c>
      <x:c r="Q17" s="9" t="str">
        <x:v>false</x:v>
      </x:c>
      <x:c r="R17" s="9" t="str">
        <x:v>Experiment selection</x:v>
      </x:c>
      <x:c r="S17" s="9" t="str">
        <x:v>adjacent_stage_analogy</x:v>
      </x:c>
      <x:c r="T17" s="9" t="str">
        <x:v>observed experimental result</x:v>
      </x:c>
      <x:c r="U17" s="9" t="str">
        <x:v>Generating candidate plans is cheap and parallel. Validating a plan consumes scarce shots, but repeatable experiments do exist; neither an unlimited 4 nor treating every proposal as one irreplaceable facility is justified.</x:v>
      </x:c>
      <x:c r="V17" s="9" t="str">
        <x:v>Reported experimental sequences support repeatability only qualitatively; they do not price selection attempts or quantify annual throughput.</x:v>
      </x:c>
      <x:c r="W17" s="9" t="str">
        <x:v>not_applicable</x:v>
      </x:c>
      <x:c r="X17" s="9" t="str">
        <x:v>not_applicable</x:v>
      </x:c>
      <x:c r="Y17" s="9" t="str">
        <x:v>not_applicable</x:v>
      </x:c>
      <x:c r="Z17" s="9" t="str">
        <x:v>not_applicable</x:v>
      </x:c>
      <x:c r="AA17" s="9" t="str">
        <x:v>dr-sp-0016-s3-v1</x:v>
      </x:c>
    </x:row>
    <x:row r="18" ht="44" customHeight="1">
      <x:c r="A18" s="3" t="str">
        <x:v>sp-0016</x:v>
      </x:c>
      <x:c r="B18" s="3" t="str">
        <x:v>S4</x:v>
      </x:c>
      <x:c r="C18" s="13" t="n">
        <x:v>3</x:v>
      </x:c>
      <x:c r="D18" s="13" t="n">
        <x:v>4</x:v>
      </x:c>
      <x:c r="E18" s="13" t="n">
        <x:f>MIN(C18:D18)</x:f>
        <x:v>3</x:v>
      </x:c>
      <x:c r="F18" s="13" t="n">
        <x:f>MAX(C18:D18)</x:f>
        <x:v>4</x:v>
      </x:c>
      <x:c r="G18" s="3" t="str">
        <x:v>prefer_independent</x:v>
      </x:c>
      <x:c r="H18" s="13" t="n">
        <x:v>4</x:v>
      </x:c>
      <x:c r="I18" s="13" t="n">
        <x:v>4</x:v>
      </x:c>
      <x:c r="J18" s="3" t="str">
        <x:f>IF(H18=I18,"value","range")</x:f>
        <x:v>value</x:v>
      </x:c>
      <x:c r="K18" s="3" t="str">
        <x:v>high</x:v>
      </x:c>
      <x:c r="L18" s="3" t="str">
        <x:v>supports_current_record</x:v>
      </x:c>
      <x:c r="M18" s="3" t="str">
        <x:v>Support the owner preference for 4; do not manufacture closure of the empirical selection gap.</x:v>
      </x:c>
      <x:c r="N18" s="3" t="str">
        <x:v>missing</x:v>
      </x:c>
      <x:c r="O18" s="3" t="str">
        <x:v>Revisit if a future pathway explicitly includes physical execution inside selection.</x:v>
      </x:c>
      <x:c r="P18" s="3" t="str">
        <x:v>false</x:v>
      </x:c>
      <x:c r="Q18" s="3" t="str">
        <x:v>false</x:v>
      </x:c>
      <x:c r="R18" s="3" t="str">
        <x:v>Experiment selection</x:v>
      </x:c>
      <x:c r="S18" s="3" t="str">
        <x:v>absent</x:v>
      </x:c>
      <x:c r="T18" s="3" t="str">
        <x:v>No directly relevant canonical source located</x:v>
      </x:c>
      <x:c r="U18" s="3" t="str">
        <x:v>Physical execution is excluded. Device scheduling and campaign availability constrain S2/S3 but supply no physical process inside experiment selection.</x:v>
      </x:c>
      <x:c r="V18" s="3" t="str">
        <x:v>No direct empirical S4 source is located; the frozen exclusion and owner disposition resolve the rubric interpretation only.</x:v>
      </x:c>
      <x:c r="W18" s="3" t="str">
        <x:v>not_applicable</x:v>
      </x:c>
      <x:c r="X18" s="3" t="str">
        <x:v>not_applicable</x:v>
      </x:c>
      <x:c r="Y18" s="3" t="str">
        <x:v>not_applicable</x:v>
      </x:c>
      <x:c r="Z18" s="3" t="str">
        <x:v>not_applicable</x:v>
      </x:c>
      <x:c r="AA18" s="3" t="str">
        <x:v>dr-sp-0016-s4-v1</x:v>
      </x:c>
    </x:row>
    <x:row r="19" ht="76" customHeight="1">
      <x:c r="A19" s="9" t="str">
        <x:v>sp-0016</x:v>
      </x:c>
      <x:c r="B19" s="9" t="str">
        <x:v>S5</x:v>
      </x:c>
      <x:c r="C19" s="12" t="n">
        <x:v>2</x:v>
      </x:c>
      <x:c r="D19" s="12" t="n">
        <x:v>2</x:v>
      </x:c>
      <x:c r="E19" s="12" t="n">
        <x:f>MIN(C19:D19)</x:f>
        <x:v>2</x:v>
      </x:c>
      <x:c r="F19" s="12" t="n">
        <x:f>MAX(C19:D19)</x:f>
        <x:v>2</x:v>
      </x:c>
      <x:c r="G19" s="9" t="str">
        <x:v>missing</x:v>
      </x:c>
      <x:c r="H19" s="12" t="n">
        <x:v>2</x:v>
      </x:c>
      <x:c r="I19" s="12" t="n">
        <x:v>2</x:v>
      </x:c>
      <x:c r="J19" s="9" t="str">
        <x:f>IF(H19=I19,"value","range")</x:f>
        <x:v>value</x:v>
      </x:c>
      <x:c r="K19" s="9" t="str">
        <x:v>medium</x:v>
      </x:c>
      <x:c r="L19" s="9" t="str">
        <x:v>supports_current_record</x:v>
      </x:c>
      <x:c r="M19" s="9" t="str">
        <x:v>Material lost experimental opportunity supports 2 under the stated boundary assumption.</x:v>
      </x:c>
      <x:c r="N19" s="9" t="str">
        <x:v>fusion-src-019</x:v>
      </x:c>
      <x:c r="O19" s="9" t="str">
        <x:v>Inspect the experiment-release and campaign-review gates and record which consequences can occur before each.</x:v>
      </x:c>
      <x:c r="P19" s="9" t="str">
        <x:v>false</x:v>
      </x:c>
      <x:c r="Q19" s="9" t="str">
        <x:v>false</x:v>
      </x:c>
      <x:c r="R19" s="9" t="str">
        <x:v>Experiment selection</x:v>
      </x:c>
      <x:c r="S19" s="9" t="str">
        <x:v>adjacent_stage_analogy</x:v>
      </x:c>
      <x:c r="T19" s="9" t="str">
        <x:v>observed experimental result</x:v>
      </x:c>
      <x:c r="U19" s="9" t="str">
        <x:v>A poor selection can waste allocated shots before the next independent campaign decision. A physically unsafe shot should encounter an independent experiment-release/control boundary; do not assume all selection errors are harmless, or import harms past that boundary.</x:v>
      </x:c>
      <x:c r="V19" s="9" t="str">
        <x:v>Adaptive shot experiments are contextual evidence of the receiving workflow, not a verified selection assurance architecture.</x:v>
      </x:c>
      <x:c r="W19" s="9" t="str">
        <x:v>Misallocated shots and delayed learning before campaign review; unsafe proposals only up to the independent release check.</x:v>
      </x:c>
      <x:c r="X19" s="9" t="str">
        <x:v>Independent experiment-release safety/control check; for scientific priority, independent campaign review.</x:v>
      </x:c>
      <x:c r="Y19" s="9" t="str">
        <x:v>Disruption or plant injury requiring a subsequent independent shot-safety/control failure.</x:v>
      </x:c>
      <x:c r="Z19" s="9" t="str">
        <x:v>assumed_not_verified</x:v>
      </x:c>
      <x:c r="AA19" s="9" t="str">
        <x:v>dr-sp-0016-s5-v1</x:v>
      </x:c>
    </x:row>
    <x:row r="20" ht="60" customHeight="1">
      <x:c r="A20" s="3" t="str">
        <x:v>sp-0017</x:v>
      </x:c>
      <x:c r="B20" s="3" t="str">
        <x:v>S1</x:v>
      </x:c>
      <x:c r="C20" s="13" t="n">
        <x:v>3</x:v>
      </x:c>
      <x:c r="D20" s="13" t="n">
        <x:v>2</x:v>
      </x:c>
      <x:c r="E20" s="13" t="n">
        <x:f>MIN(C20:D20)</x:f>
        <x:v>2</x:v>
      </x:c>
      <x:c r="F20" s="13" t="n">
        <x:f>MAX(C20:D20)</x:f>
        <x:v>3</x:v>
      </x:c>
      <x:c r="G20" s="3" t="str">
        <x:v>missing</x:v>
      </x:c>
      <x:c r="H20" s="13" t="n">
        <x:v>2</x:v>
      </x:c>
      <x:c r="I20" s="13" t="n">
        <x:v>3</x:v>
      </x:c>
      <x:c r="J20" s="3" t="str">
        <x:f>IF(H20=I20,"value","range")</x:f>
        <x:v>range</x:v>
      </x:c>
      <x:c r="K20" s="3" t="str">
        <x:v>medium</x:v>
      </x:c>
      <x:c r="L20" s="3" t="str">
        <x:v>recommends_range</x:v>
      </x:c>
      <x:c r="M20" s="3" t="str">
        <x:v>Do not generalize information-rich diagnostic benchmarks to the entire measurement workflow.</x:v>
      </x:c>
      <x:c r="N20" s="3" t="str">
        <x:v>fusion-src-021;fusion-src-009;fusion-src-029</x:v>
      </x:c>
      <x:c r="O20" s="3" t="str">
        <x:v>A scoped diagnostic workflow inventory separating preparation, measurement and interpretation.</x:v>
      </x:c>
      <x:c r="P20" s="3" t="str">
        <x:v>false</x:v>
      </x:c>
      <x:c r="Q20" s="3" t="str">
        <x:v>false</x:v>
      </x:c>
      <x:c r="R20" s="3" t="str">
        <x:v>Diagnostics</x:v>
      </x:c>
      <x:c r="S20" s="3" t="str">
        <x:v>exact_stage;adjacent_stage_analogy</x:v>
      </x:c>
      <x:c r="T20" s="3" t="str">
        <x:v>proof of concept; observed facility milestone</x:v>
      </x:c>
      <x:c r="U20" s="3" t="str">
        <x:v>Diagnostic interpretation and reconstruction are informational; preparing, calibrating and using measurement systems also advances the frozen stage. Retain 2-3 because the balance is not measured.</x:v>
      </x:c>
      <x:c r="V20" s="3" t="str">
        <x:v>Retrospective reconstruction and classification cover the analytical subset. Operator-reported upgrades cover hardware only by adjacent example.</x:v>
      </x:c>
      <x:c r="W20" s="3" t="str">
        <x:v>not_applicable</x:v>
      </x:c>
      <x:c r="X20" s="3" t="str">
        <x:v>not_applicable</x:v>
      </x:c>
      <x:c r="Y20" s="3" t="str">
        <x:v>not_applicable</x:v>
      </x:c>
      <x:c r="Z20" s="3" t="str">
        <x:v>not_applicable</x:v>
      </x:c>
      <x:c r="AA20" s="3" t="str">
        <x:v>dr-sp-0017-s1-v1</x:v>
      </x:c>
    </x:row>
    <x:row r="21" ht="60" customHeight="1">
      <x:c r="A21" s="9" t="str">
        <x:v>sp-0017</x:v>
      </x:c>
      <x:c r="B21" s="9" t="str">
        <x:v>S2</x:v>
      </x:c>
      <x:c r="C21" s="12" t="n">
        <x:v>2</x:v>
      </x:c>
      <x:c r="D21" s="12" t="n">
        <x:v>2</x:v>
      </x:c>
      <x:c r="E21" s="12" t="n">
        <x:f>MIN(C21:D21)</x:f>
        <x:v>2</x:v>
      </x:c>
      <x:c r="F21" s="12" t="n">
        <x:f>MAX(C21:D21)</x:f>
        <x:v>2</x:v>
      </x:c>
      <x:c r="G21" s="9" t="str">
        <x:v>missing</x:v>
      </x:c>
      <x:c r="H21" s="12" t="n">
        <x:v>2</x:v>
      </x:c>
      <x:c r="I21" s="12" t="n">
        <x:v>2</x:v>
      </x:c>
      <x:c r="J21" s="9" t="str">
        <x:f>IF(H21=I21,"value","range")</x:f>
        <x:v>value</x:v>
      </x:c>
      <x:c r="K21" s="9" t="str">
        <x:v>low</x:v>
      </x:c>
      <x:c r="L21" s="9" t="str">
        <x:v>insufficient_evidence</x:v>
      </x:c>
      <x:c r="M21" s="9" t="str">
        <x:v>Keep 2 provisional; no stage-level cadence is measured by the cited benchmarks.</x:v>
      </x:c>
      <x:c r="N21" s="9" t="str">
        <x:v>fusion-src-008;fusion-src-021;fusion-src-029</x:v>
      </x:c>
      <x:c r="O21" s="9" t="str">
        <x:v>Timed calibration, measurement and revision records for a representative research diagnostic.</x:v>
      </x:c>
      <x:c r="P21" s="9" t="str">
        <x:v>false</x:v>
      </x:c>
      <x:c r="Q21" s="9" t="str">
        <x:v>false</x:v>
      </x:c>
      <x:c r="R21" s="9" t="str">
        <x:v>Diagnostics</x:v>
      </x:c>
      <x:c r="S21" s="9" t="str">
        <x:v>exact_stage;adjacent_stage_analogy</x:v>
      </x:c>
      <x:c r="T21" s="9" t="str">
        <x:v>proof of concept; observed facility milestone</x:v>
      </x:c>
      <x:c r="U21" s="9" t="str">
        <x:v>Sampling frequency, predictor warning time and reconstruction latency are not the ordinary prepare-measure-calibrate-revise cycle. The consensus 2 is only a candidate pending workflow timing.</x:v>
      </x:c>
      <x:c r="V21" s="9" t="str">
        <x:v>The bank calls some S2 support direct, but the measured quantities concern inference or warning, not full-cycle feedback.</x:v>
      </x:c>
      <x:c r="W21" s="9" t="str">
        <x:v>not_applicable</x:v>
      </x:c>
      <x:c r="X21" s="9" t="str">
        <x:v>not_applicable</x:v>
      </x:c>
      <x:c r="Y21" s="9" t="str">
        <x:v>not_applicable</x:v>
      </x:c>
      <x:c r="Z21" s="9" t="str">
        <x:v>not_applicable</x:v>
      </x:c>
      <x:c r="AA21" s="9" t="str">
        <x:v>dr-sp-0017-s2-v1</x:v>
      </x:c>
    </x:row>
    <x:row r="22" ht="60" customHeight="1">
      <x:c r="A22" s="3" t="str">
        <x:v>sp-0017</x:v>
      </x:c>
      <x:c r="B22" s="3" t="str">
        <x:v>S3</x:v>
      </x:c>
      <x:c r="C22" s="13" t="n">
        <x:v>2</x:v>
      </x:c>
      <x:c r="D22" s="13" t="n">
        <x:v>1</x:v>
      </x:c>
      <x:c r="E22" s="13" t="n">
        <x:f>MIN(C22:D22)</x:f>
        <x:v>1</x:v>
      </x:c>
      <x:c r="F22" s="13" t="n">
        <x:f>MAX(C22:D22)</x:f>
        <x:v>2</x:v>
      </x:c>
      <x:c r="G22" s="3" t="str">
        <x:v>missing</x:v>
      </x:c>
      <x:c r="H22" s="13" t="n">
        <x:v>1</x:v>
      </x:c>
      <x:c r="I22" s="13" t="n">
        <x:v>2</x:v>
      </x:c>
      <x:c r="J22" s="3" t="str">
        <x:f>IF(H22=I22,"value","range")</x:f>
        <x:v>range</x:v>
      </x:c>
      <x:c r="K22" s="3" t="str">
        <x:v>low</x:v>
      </x:c>
      <x:c r="L22" s="3" t="str">
        <x:v>recommends_range</x:v>
      </x:c>
      <x:c r="M22" s="3" t="str">
        <x:v>Retain cost-throughput divergence rather than reading dataset size as affordable experimentation.</x:v>
      </x:c>
      <x:c r="N22" s="3" t="str">
        <x:v>fusion-src-021;fusion-src-009;fusion-src-029</x:v>
      </x:c>
      <x:c r="O22" s="3" t="str">
        <x:v>A costed diagnostic revision case with physical and reanalysis attempt counts distinguished.</x:v>
      </x:c>
      <x:c r="P22" s="3" t="str">
        <x:v>false</x:v>
      </x:c>
      <x:c r="Q22" s="3" t="str">
        <x:v>false</x:v>
      </x:c>
      <x:c r="R22" s="3" t="str">
        <x:v>Diagnostics</x:v>
      </x:c>
      <x:c r="S22" s="3" t="str">
        <x:v>exact_stage;adjacent_stage_analogy</x:v>
      </x:c>
      <x:c r="T22" s="3" t="str">
        <x:v>proof of concept; observed facility milestone</x:v>
      </x:c>
      <x:c r="U22" s="3" t="str">
        <x:v>Archived-data reanalysis is cheap and parallel; new measurements and hardware changes consume instruments, specialist effort and facility access. Both 1 and 2 are defensible depending on the decisive physical attempt set.</x:v>
      </x:c>
      <x:c r="V22" s="3" t="str">
        <x:v>Thousands of historical discharges are a dataset denominator, not obtainable new-shot throughput.</x:v>
      </x:c>
      <x:c r="W22" s="3" t="str">
        <x:v>not_applicable</x:v>
      </x:c>
      <x:c r="X22" s="3" t="str">
        <x:v>not_applicable</x:v>
      </x:c>
      <x:c r="Y22" s="3" t="str">
        <x:v>not_applicable</x:v>
      </x:c>
      <x:c r="Z22" s="3" t="str">
        <x:v>not_applicable</x:v>
      </x:c>
      <x:c r="AA22" s="3" t="str">
        <x:v>dr-sp-0017-s3-v1</x:v>
      </x:c>
    </x:row>
    <x:row r="23" ht="60" customHeight="1">
      <x:c r="A23" s="9" t="str">
        <x:v>sp-0017</x:v>
      </x:c>
      <x:c r="B23" s="9" t="str">
        <x:v>S4</x:v>
      </x:c>
      <x:c r="C23" s="12" t="n">
        <x:v>2</x:v>
      </x:c>
      <x:c r="D23" s="12" t="n">
        <x:v>2</x:v>
      </x:c>
      <x:c r="E23" s="12" t="n">
        <x:f>MIN(C23:D23)</x:f>
        <x:v>2</x:v>
      </x:c>
      <x:c r="F23" s="12" t="n">
        <x:f>MAX(C23:D23)</x:f>
        <x:v>2</x:v>
      </x:c>
      <x:c r="G23" s="9" t="str">
        <x:v>missing</x:v>
      </x:c>
      <x:c r="H23" s="12" t="n">
        <x:v>2</x:v>
      </x:c>
      <x:c r="I23" s="12" t="n">
        <x:v>2</x:v>
      </x:c>
      <x:c r="J23" s="9" t="str">
        <x:f>IF(H23=I23,"value","range")</x:f>
        <x:v>value</x:v>
      </x:c>
      <x:c r="K23" s="9" t="str">
        <x:v>medium</x:v>
      </x:c>
      <x:c r="L23" s="9" t="str">
        <x:v>supports_current_record</x:v>
      </x:c>
      <x:c r="M23" s="9" t="str">
        <x:v>Support 2 with a narrowed physical rationale, excluding generic shutdown scheduling.</x:v>
      </x:c>
      <x:c r="N23" s="9" t="str">
        <x:v>fusion-src-029</x:v>
      </x:c>
      <x:c r="O23" s="9" t="str">
        <x:v>Identify actual preparation and calibration durations separately from access and procurement waits.</x:v>
      </x:c>
      <x:c r="P23" s="9" t="str">
        <x:v>false</x:v>
      </x:c>
      <x:c r="Q23" s="9" t="str">
        <x:v>false</x:v>
      </x:c>
      <x:c r="R23" s="9" t="str">
        <x:v>Diagnostics</x:v>
      </x:c>
      <x:c r="S23" s="9" t="str">
        <x:v>adjacent_stage_analogy</x:v>
      </x:c>
      <x:c r="T23" s="9" t="str">
        <x:v>observed facility milestone</x:v>
      </x:c>
      <x:c r="U23" s="9" t="str">
        <x:v>Calibration and hardware preparation impose physical delay inside diagnostic use; administrative access queues do not. The stage also contains extensive analysis without a physical floor, supporting the mixed 2.</x:v>
      </x:c>
      <x:c r="V23" s="9" t="str">
        <x:v>An operator-reported upgrade shows hardware work but does not measure a universal preparation floor.</x:v>
      </x:c>
      <x:c r="W23" s="9" t="str">
        <x:v>not_applicable</x:v>
      </x:c>
      <x:c r="X23" s="9" t="str">
        <x:v>not_applicable</x:v>
      </x:c>
      <x:c r="Y23" s="9" t="str">
        <x:v>not_applicable</x:v>
      </x:c>
      <x:c r="Z23" s="9" t="str">
        <x:v>not_applicable</x:v>
      </x:c>
      <x:c r="AA23" s="9" t="str">
        <x:v>dr-sp-0017-s4-v1</x:v>
      </x:c>
    </x:row>
    <x:row r="24" ht="60" customHeight="1">
      <x:c r="A24" s="3" t="str">
        <x:v>sp-0017</x:v>
      </x:c>
      <x:c r="B24" s="3" t="str">
        <x:v>S5</x:v>
      </x:c>
      <x:c r="C24" s="13" t="n">
        <x:v>2</x:v>
      </x:c>
      <x:c r="D24" s="13" t="n">
        <x:v>2</x:v>
      </x:c>
      <x:c r="E24" s="13" t="n">
        <x:f>MIN(C24:D24)</x:f>
        <x:v>2</x:v>
      </x:c>
      <x:c r="F24" s="13" t="n">
        <x:f>MAX(C24:D24)</x:f>
        <x:v>2</x:v>
      </x:c>
      <x:c r="G24" s="3" t="str">
        <x:v>missing</x:v>
      </x:c>
      <x:c r="H24" s="13" t="n">
        <x:v>2</x:v>
      </x:c>
      <x:c r="I24" s="13" t="n">
        <x:v>2</x:v>
      </x:c>
      <x:c r="J24" s="3" t="str">
        <x:f>IF(H24=I24,"value","range")</x:f>
        <x:v>value</x:v>
      </x:c>
      <x:c r="K24" s="3" t="str">
        <x:v>medium</x:v>
      </x:c>
      <x:c r="L24" s="3" t="str">
        <x:v>supports_current_record</x:v>
      </x:c>
      <x:c r="M24" s="3" t="str">
        <x:v>Material data loss and bounded downstream misdirection are compatible with 2, not a universal safe-instrument claim.</x:v>
      </x:c>
      <x:c r="N24" s="3" t="str">
        <x:v>fusion-src-008;fusion-src-020;fusion-src-021</x:v>
      </x:c>
      <x:c r="O24" s="3" t="str">
        <x:v>Revisit if diagnostic output becomes a sole safety input without independent plausibility or protection checks.</x:v>
      </x:c>
      <x:c r="P24" s="3" t="str">
        <x:v>false</x:v>
      </x:c>
      <x:c r="Q24" s="3" t="str">
        <x:v>false</x:v>
      </x:c>
      <x:c r="R24" s="3" t="str">
        <x:v>Diagnostics</x:v>
      </x:c>
      <x:c r="S24" s="3" t="str">
        <x:v>exact_stage</x:v>
      </x:c>
      <x:c r="T24" s="3" t="str">
        <x:v>proof of concept</x:v>
      </x:c>
      <x:c r="U24" s="3" t="str">
        <x:v>Miscalibration or erroneous inference can spoil a dataset and mislead a receiving control decision before independent signal plausibility/protection checks. Research diagnostics are not thereby qualified safety instrumentation.</x:v>
      </x:c>
      <x:c r="V24" s="3" t="str">
        <x:v>Prediction, offline transfer and retrospective reconstruction do not verify protection independence; 2 assumes research-use checks.</x:v>
      </x:c>
      <x:c r="W24" s="3" t="str">
        <x:v>Invalidated measurements or misdirected immediate decisions before cross-check or protection.</x:v>
      </x:c>
      <x:c r="X24" s="3" t="str">
        <x:v>Independent signal plausibility/diagnostic cross-check and plant protection before consequential actuation.</x:v>
      </x:c>
      <x:c r="Y24" s="3" t="str">
        <x:v>Plant damage requiring separate independent protection to fail; qualified safety instrumentation is outside demonstrated evidence.</x:v>
      </x:c>
      <x:c r="Z24" s="3" t="str">
        <x:v>assumed_not_verified</x:v>
      </x:c>
      <x:c r="AA24" s="3" t="str">
        <x:v>dr-sp-0017-s5-v1</x:v>
      </x:c>
    </x:row>
    <x:row r="25" ht="60" customHeight="1">
      <x:c r="A25" s="9" t="str">
        <x:v>sp-0018</x:v>
      </x:c>
      <x:c r="B25" s="9" t="str">
        <x:v>S1</x:v>
      </x:c>
      <x:c r="C25" s="12" t="n">
        <x:v>3</x:v>
      </x:c>
      <x:c r="D25" s="12" t="n">
        <x:v>2</x:v>
      </x:c>
      <x:c r="E25" s="12" t="n">
        <x:f>MIN(C25:D25)</x:f>
        <x:v>2</x:v>
      </x:c>
      <x:c r="F25" s="12" t="n">
        <x:f>MAX(C25:D25)</x:f>
        <x:v>3</x:v>
      </x:c>
      <x:c r="G25" s="9" t="str">
        <x:v>prefer_independent</x:v>
      </x:c>
      <x:c r="H25" s="12" t="n">
        <x:v>2</x:v>
      </x:c>
      <x:c r="I25" s="12" t="n">
        <x:v>2</x:v>
      </x:c>
      <x:c r="J25" s="9" t="str">
        <x:f>IF(H25=I25,"value","range")</x:f>
        <x:v>value</x:v>
      </x:c>
      <x:c r="K25" s="9" t="str">
        <x:v>high</x:v>
      </x:c>
      <x:c r="L25" s="9" t="str">
        <x:v>supports_current_record</x:v>
      </x:c>
      <x:c r="M25" s="9" t="str">
        <x:v>Support the owner preference for independent 2.</x:v>
      </x:c>
      <x:c r="N25" s="9" t="str">
        <x:v>fusion-src-017;fusion-src-007;fusion-src-018</x:v>
      </x:c>
      <x:c r="O25" s="9" t="str">
        <x:v>Revisit if offline control-design-only and live-operation scopes are explicitly split.</x:v>
      </x:c>
      <x:c r="P25" s="9" t="str">
        <x:v>false</x:v>
      </x:c>
      <x:c r="Q25" s="9" t="str">
        <x:v>false</x:v>
      </x:c>
      <x:c r="R25" s="9" t="str">
        <x:v>Plasma control</x:v>
      </x:c>
      <x:c r="S25" s="9" t="str">
        <x:v>exact_stage</x:v>
      </x:c>
      <x:c r="T25" s="9" t="str">
        <x:v>observed experimental result</x:v>
      </x:c>
      <x:c r="U25" s="9" t="str">
        <x:v>Control development combines software and simulator work with live physical actuation and testing. The frozen inclusion of operation makes 2 more defensible than treating progress as primarily informational.</x:v>
      </x:c>
      <x:c r="V25" s="9" t="str">
        <x:v>TCV, HL-3 and DIII-D show both parts on research tokamaks, not pilot-ready control safety.</x:v>
      </x:c>
      <x:c r="W25" s="9" t="str">
        <x:v>not_applicable</x:v>
      </x:c>
      <x:c r="X25" s="9" t="str">
        <x:v>not_applicable</x:v>
      </x:c>
      <x:c r="Y25" s="9" t="str">
        <x:v>not_applicable</x:v>
      </x:c>
      <x:c r="Z25" s="9" t="str">
        <x:v>not_applicable</x:v>
      </x:c>
      <x:c r="AA25" s="9" t="str">
        <x:v>dr-sp-0018-s1-v1</x:v>
      </x:c>
    </x:row>
    <x:row r="26" ht="60" customHeight="1">
      <x:c r="A26" s="3" t="str">
        <x:v>sp-0018</x:v>
      </x:c>
      <x:c r="B26" s="3" t="str">
        <x:v>S2</x:v>
      </x:c>
      <x:c r="C26" s="13" t="n">
        <x:v>2</x:v>
      </x:c>
      <x:c r="D26" s="13" t="n">
        <x:v>3</x:v>
      </x:c>
      <x:c r="E26" s="13" t="n">
        <x:f>MIN(C26:D26)</x:f>
        <x:v>2</x:v>
      </x:c>
      <x:c r="F26" s="13" t="n">
        <x:f>MAX(C26:D26)</x:f>
        <x:v>3</x:v>
      </x:c>
      <x:c r="G26" s="3" t="str">
        <x:v>prefer_seed</x:v>
      </x:c>
      <x:c r="H26" s="13" t="n">
        <x:v>2</x:v>
      </x:c>
      <x:c r="I26" s="13" t="n">
        <x:v>2</x:v>
      </x:c>
      <x:c r="J26" s="3" t="str">
        <x:f>IF(H26=I26,"value","range")</x:f>
        <x:v>value</x:v>
      </x:c>
      <x:c r="K26" s="3" t="str">
        <x:v>medium</x:v>
      </x:c>
      <x:c r="L26" s="3" t="str">
        <x:v>supports_current_record</x:v>
      </x:c>
      <x:c r="M26" s="3" t="str">
        <x:v>Support owner 2 qualitatively; do not use controller frequency as S2=3 or 4 evidence.</x:v>
      </x:c>
      <x:c r="N26" s="3" t="str">
        <x:v>fusion-src-017;fusion-src-007;fusion-src-019</x:v>
      </x:c>
      <x:c r="O26" s="3" t="str">
        <x:v>Timed controller-development histories from model revision through live validation, with shot and campaign cadence separated.</x:v>
      </x:c>
      <x:c r="P26" s="3" t="str">
        <x:v>false</x:v>
      </x:c>
      <x:c r="Q26" s="3" t="str">
        <x:v>false</x:v>
      </x:c>
      <x:c r="R26" s="3" t="str">
        <x:v>Plasma control</x:v>
      </x:c>
      <x:c r="S26" s="3" t="str">
        <x:v>exact_stage</x:v>
      </x:c>
      <x:c r="T26" s="3" t="str">
        <x:v>observed experimental result</x:v>
      </x:c>
      <x:c r="U26" s="3" t="str">
        <x:v>A 10 kHz or 1 kHz controller updates an actuator; it does not complete a development learning cycle. Validated control revision combines simulator work, shot sequences and evaluation across operating conditions.</x:v>
      </x:c>
      <x:c r="V26" s="3" t="str">
        <x:v>Live research-device tests establish feasibility, not a measured typical campaign-length distribution or pilot transfer.</x:v>
      </x:c>
      <x:c r="W26" s="3" t="str">
        <x:v>not_applicable</x:v>
      </x:c>
      <x:c r="X26" s="3" t="str">
        <x:v>not_applicable</x:v>
      </x:c>
      <x:c r="Y26" s="3" t="str">
        <x:v>not_applicable</x:v>
      </x:c>
      <x:c r="Z26" s="3" t="str">
        <x:v>not_applicable</x:v>
      </x:c>
      <x:c r="AA26" s="3" t="str">
        <x:v>dr-sp-0018-s2-v1</x:v>
      </x:c>
    </x:row>
    <x:row r="27" ht="60" customHeight="1">
      <x:c r="A27" s="9" t="str">
        <x:v>sp-0018</x:v>
      </x:c>
      <x:c r="B27" s="9" t="str">
        <x:v>S3</x:v>
      </x:c>
      <x:c r="C27" s="12" t="n">
        <x:v>1</x:v>
      </x:c>
      <x:c r="D27" s="12" t="n">
        <x:v>1</x:v>
      </x:c>
      <x:c r="E27" s="12" t="n">
        <x:f>MIN(C27:D27)</x:f>
        <x:v>1</x:v>
      </x:c>
      <x:c r="F27" s="12" t="n">
        <x:f>MAX(C27:D27)</x:f>
        <x:v>1</x:v>
      </x:c>
      <x:c r="G27" s="9" t="str">
        <x:v>missing</x:v>
      </x:c>
      <x:c r="H27" s="12" t="n">
        <x:v>1</x:v>
      </x:c>
      <x:c r="I27" s="12" t="n">
        <x:v>2</x:v>
      </x:c>
      <x:c r="J27" s="9" t="str">
        <x:f>IF(H27=I27,"value","range")</x:f>
        <x:v>range</x:v>
      </x:c>
      <x:c r="K27" s="9" t="str">
        <x:v>medium</x:v>
      </x:c>
      <x:c r="L27" s="9" t="str">
        <x:v>recommends_range</x:v>
      </x:c>
      <x:c r="M27" s="9" t="str">
        <x:v>Broaden the shared 1 to 1-2 without averaging or declaring unlimited live throughput.</x:v>
      </x:c>
      <x:c r="N27" s="9" t="str">
        <x:v>fusion-src-017;fusion-src-007;fusion-src-019</x:v>
      </x:c>
      <x:c r="O27" s="9" t="str">
        <x:v>Document simulator trial cost, scarce live validation budget and attainable independent policy tests per campaign.</x:v>
      </x:c>
      <x:c r="P27" s="9" t="str">
        <x:v>false</x:v>
      </x:c>
      <x:c r="Q27" s="9" t="str">
        <x:v>false</x:v>
      </x:c>
      <x:c r="R27" s="9" t="str">
        <x:v>Plasma control</x:v>
      </x:c>
      <x:c r="S27" s="9" t="str">
        <x:v>exact_stage</x:v>
      </x:c>
      <x:c r="T27" s="9" t="str">
        <x:v>observed experimental result</x:v>
      </x:c>
      <x:c r="U27" s="9" t="str">
        <x:v>Simulated policy attempts are inexpensive and parallel; live validation uses costly serial shots. Repeated experimental sequences show that decisive attempts are not equivalent to building a new device each time.</x:v>
      </x:c>
      <x:c r="V27" s="9" t="str">
        <x:v>The papers establish repeatable testing, but no complete cost/available-throughput ledger; 1 remains plausible and 2 cannot be excluded.</x:v>
      </x:c>
      <x:c r="W27" s="9" t="str">
        <x:v>not_applicable</x:v>
      </x:c>
      <x:c r="X27" s="9" t="str">
        <x:v>not_applicable</x:v>
      </x:c>
      <x:c r="Y27" s="9" t="str">
        <x:v>not_applicable</x:v>
      </x:c>
      <x:c r="Z27" s="9" t="str">
        <x:v>not_applicable</x:v>
      </x:c>
      <x:c r="AA27" s="9" t="str">
        <x:v>dr-sp-0018-s3-v1</x:v>
      </x:c>
    </x:row>
    <x:row r="28" ht="44" customHeight="1">
      <x:c r="A28" s="3" t="str">
        <x:v>sp-0018</x:v>
      </x:c>
      <x:c r="B28" s="3" t="str">
        <x:v>S4</x:v>
      </x:c>
      <x:c r="C28" s="13" t="n">
        <x:v>2</x:v>
      </x:c>
      <x:c r="D28" s="13" t="n">
        <x:v>2</x:v>
      </x:c>
      <x:c r="E28" s="13" t="n">
        <x:f>MIN(C28:D28)</x:f>
        <x:v>2</x:v>
      </x:c>
      <x:c r="F28" s="13" t="n">
        <x:f>MAX(C28:D28)</x:f>
        <x:v>2</x:v>
      </x:c>
      <x:c r="G28" s="3" t="str">
        <x:v>missing</x:v>
      </x:c>
      <x:c r="H28" s="13" t="n">
        <x:v>2</x:v>
      </x:c>
      <x:c r="I28" s="13" t="n">
        <x:v>2</x:v>
      </x:c>
      <x:c r="J28" s="3" t="str">
        <x:f>IF(H28=I28,"value","range")</x:f>
        <x:v>value</x:v>
      </x:c>
      <x:c r="K28" s="3" t="str">
        <x:v>medium</x:v>
      </x:c>
      <x:c r="L28" s="3" t="str">
        <x:v>supports_current_record</x:v>
      </x:c>
      <x:c r="M28" s="3" t="str">
        <x:v>Keep 2 as a mixed-process judgment, with no intrinsic floor inferred from administrative campaign spacing.</x:v>
      </x:c>
      <x:c r="N28" s="3" t="str">
        <x:v>fusion-src-017;fusion-src-007</x:v>
      </x:c>
      <x:c r="O28" s="3" t="str">
        <x:v>Measure physical reset/conditioning time separately from facility allocation delays.</x:v>
      </x:c>
      <x:c r="P28" s="3" t="str">
        <x:v>false</x:v>
      </x:c>
      <x:c r="Q28" s="3" t="str">
        <x:v>false</x:v>
      </x:c>
      <x:c r="R28" s="3" t="str">
        <x:v>Plasma control</x:v>
      </x:c>
      <x:c r="S28" s="3" t="str">
        <x:v>exact_stage</x:v>
      </x:c>
      <x:c r="T28" s="3" t="str">
        <x:v>observed experimental result</x:v>
      </x:c>
      <x:c r="U28" s="3" t="str">
        <x:v>Physical plasma preparation, reset and any necessary conditioning coexist with simulator work. Generic access queues and programme shutdowns are removed from the S4 rationale.</x:v>
      </x:c>
      <x:c r="V28" s="3" t="str">
        <x:v>The live-device papers show the physical operation component, not a universal conditioning duration.</x:v>
      </x:c>
      <x:c r="W28" s="3" t="str">
        <x:v>not_applicable</x:v>
      </x:c>
      <x:c r="X28" s="3" t="str">
        <x:v>not_applicable</x:v>
      </x:c>
      <x:c r="Y28" s="3" t="str">
        <x:v>not_applicable</x:v>
      </x:c>
      <x:c r="Z28" s="3" t="str">
        <x:v>not_applicable</x:v>
      </x:c>
      <x:c r="AA28" s="3" t="str">
        <x:v>dr-sp-0018-s4-v1</x:v>
      </x:c>
    </x:row>
    <x:row r="29" ht="76" customHeight="1">
      <x:c r="A29" s="9" t="str">
        <x:v>sp-0018</x:v>
      </x:c>
      <x:c r="B29" s="9" t="str">
        <x:v>S5</x:v>
      </x:c>
      <x:c r="C29" s="12" t="n">
        <x:v>1</x:v>
      </x:c>
      <x:c r="D29" s="12" t="n">
        <x:v>1</x:v>
      </x:c>
      <x:c r="E29" s="12" t="n">
        <x:f>MIN(C29:D29)</x:f>
        <x:v>1</x:v>
      </x:c>
      <x:c r="F29" s="12" t="n">
        <x:f>MAX(C29:D29)</x:f>
        <x:v>1</x:v>
      </x:c>
      <x:c r="G29" s="9" t="str">
        <x:v>missing</x:v>
      </x:c>
      <x:c r="H29" s="12" t="n">
        <x:v>0</x:v>
      </x:c>
      <x:c r="I29" s="12" t="n">
        <x:v>1</x:v>
      </x:c>
      <x:c r="J29" s="9" t="str">
        <x:f>IF(H29=I29,"value","range")</x:f>
        <x:v>range</x:v>
      </x:c>
      <x:c r="K29" s="9" t="str">
        <x:v>low</x:v>
      </x:c>
      <x:c r="L29" s="9" t="str">
        <x:v>requires_human_expert</x:v>
      </x:c>
      <x:c r="M29" s="9" t="str">
        <x:v>Keep 1 as plausible for bounded research-device harm, but retain 0 as a severe direct-consequence possibility pending protection review.</x:v>
      </x:c>
      <x:c r="N29" s="9" t="str">
        <x:v>fusion-src-018;fusion-src-008;fusion-src-020</x:v>
      </x:c>
      <x:c r="O29" s="9" t="str">
        <x:v>An independently reviewed control/protection architecture and bounded failure analysis at the proposed pilot operating envelope.</x:v>
      </x:c>
      <x:c r="P29" s="9" t="str">
        <x:v>true</x:v>
      </x:c>
      <x:c r="Q29" s="9" t="str">
        <x:v>true</x:v>
      </x:c>
      <x:c r="R29" s="9" t="str">
        <x:v>Plasma control</x:v>
      </x:c>
      <x:c r="S29" s="9" t="str">
        <x:v>exact_stage;adjacent_stage_analogy</x:v>
      </x:c>
      <x:c r="T29" s="9" t="str">
        <x:v>observed experimental result; proof of concept</x:v>
      </x:c>
      <x:c r="U29" s="9" t="str">
        <x:v>A control error can directly terminate a shot or cause equipment loading before an independent protection action. The severity depends on stored energy, response latency and what protection is truly independent; proof-of-concept avoidance does not settle that boundary.</x:v>
      </x:c>
      <x:c r="V29" s="9" t="str">
        <x:v>DIII-D live avoidance, EAST prediction and offline cross-device transfer do not constitute a pilot nuclear-safety case.</x:v>
      </x:c>
      <x:c r="W29" s="9" t="str">
        <x:v>Lost discharge and thermal/electromagnetic loading or equipment damage that occurs before protection acts.</x:v>
      </x:c>
      <x:c r="X29" s="9" t="str">
        <x:v>Independent machine protection or shutdown acting on separate detection/control logic.</x:v>
      </x:c>
      <x:c r="Y29" s="9" t="str">
        <x:v>Remote radiological or grid cascades requiring independent plant containment or grid protection to fail.</x:v>
      </x:c>
      <x:c r="Z29" s="9" t="str">
        <x:v>assumed_not_verified</x:v>
      </x:c>
      <x:c r="AA29" s="9" t="str">
        <x:v>dr-sp-0018-s5-v1</x:v>
      </x:c>
    </x:row>
    <x:row r="30" ht="60" customHeight="1">
      <x:c r="A30" s="3" t="str">
        <x:v>sp-0019</x:v>
      </x:c>
      <x:c r="B30" s="3" t="str">
        <x:v>S1</x:v>
      </x:c>
      <x:c r="C30" s="13" t="n">
        <x:v>3</x:v>
      </x:c>
      <x:c r="D30" s="13" t="n">
        <x:v>2</x:v>
      </x:c>
      <x:c r="E30" s="13" t="n">
        <x:f>MIN(C30:D30)</x:f>
        <x:v>2</x:v>
      </x:c>
      <x:c r="F30" s="13" t="n">
        <x:f>MAX(C30:D30)</x:f>
        <x:v>3</x:v>
      </x:c>
      <x:c r="G30" s="3" t="str">
        <x:v>missing</x:v>
      </x:c>
      <x:c r="H30" s="13" t="n">
        <x:v>2</x:v>
      </x:c>
      <x:c r="I30" s="13" t="n">
        <x:v>3</x:v>
      </x:c>
      <x:c r="J30" s="3" t="str">
        <x:f>IF(H30=I30,"value","range")</x:f>
        <x:v>range</x:v>
      </x:c>
      <x:c r="K30" s="3" t="str">
        <x:v>low</x:v>
      </x:c>
      <x:c r="L30" s="3" t="str">
        <x:v>recommends_range</x:v>
      </x:c>
      <x:c r="M30" s="3" t="str">
        <x:v>Preserve 2-3 rather than assuming computational screening dominates.</x:v>
      </x:c>
      <x:c r="N30" s="3" t="str">
        <x:v>fusion-src-027;fusion-src-028</x:v>
      </x:c>
      <x:c r="O30" s="3" t="str">
        <x:v>A fusion-material screening workflow with candidate generation and physical screen activities identified.</x:v>
      </x:c>
      <x:c r="P30" s="3" t="str">
        <x:v>false</x:v>
      </x:c>
      <x:c r="Q30" s="3" t="str">
        <x:v>false</x:v>
      </x:c>
      <x:c r="R30" s="3" t="str">
        <x:v>Materials discovery and screening</x:v>
      </x:c>
      <x:c r="S30" s="3" t="str">
        <x:v>target_programme_status</x:v>
      </x:c>
      <x:c r="T30" s="3" t="str">
        <x:v>programme announcement</x:v>
      </x:c>
      <x:c r="U30" s="3" t="str">
        <x:v>Candidate inference is informational; producing and characterizing screening samples is physical. The evidence does not show whether either predominates across this frozen scope.</x:v>
      </x:c>
      <x:c r="V30" s="3" t="str">
        <x:v>MPEX AI plans and the DOE roadmap are programme evidence, not a measured discovery workflow.</x:v>
      </x:c>
      <x:c r="W30" s="3" t="str">
        <x:v>not_applicable</x:v>
      </x:c>
      <x:c r="X30" s="3" t="str">
        <x:v>not_applicable</x:v>
      </x:c>
      <x:c r="Y30" s="3" t="str">
        <x:v>not_applicable</x:v>
      </x:c>
      <x:c r="Z30" s="3" t="str">
        <x:v>not_applicable</x:v>
      </x:c>
      <x:c r="AA30" s="3" t="str">
        <x:v>dr-sp-0019-s1-v1</x:v>
      </x:c>
    </x:row>
    <x:row r="31" ht="44" customHeight="1">
      <x:c r="A31" s="9" t="str">
        <x:v>sp-0019</x:v>
      </x:c>
      <x:c r="B31" s="9" t="str">
        <x:v>S2</x:v>
      </x:c>
      <x:c r="C31" s="12" t="n">
        <x:v>2</x:v>
      </x:c>
      <x:c r="D31" s="12" t="n">
        <x:v>2</x:v>
      </x:c>
      <x:c r="E31" s="12" t="n">
        <x:f>MIN(C31:D31)</x:f>
        <x:v>2</x:v>
      </x:c>
      <x:c r="F31" s="12" t="n">
        <x:f>MAX(C31:D31)</x:f>
        <x:v>2</x:v>
      </x:c>
      <x:c r="G31" s="9" t="str">
        <x:v>missing</x:v>
      </x:c>
      <x:c r="H31" s="12" t="n">
        <x:v>2</x:v>
      </x:c>
      <x:c r="I31" s="12" t="n">
        <x:v>2</x:v>
      </x:c>
      <x:c r="J31" s="9" t="str">
        <x:f>IF(H31=I31,"value","range")</x:f>
        <x:v>value</x:v>
      </x:c>
      <x:c r="K31" s="9" t="str">
        <x:v>low</x:v>
      </x:c>
      <x:c r="L31" s="9" t="str">
        <x:v>insufficient_evidence</x:v>
      </x:c>
      <x:c r="M31" s="9" t="str">
        <x:v>Do not promote coder agreement into an observed cadence.</x:v>
      </x:c>
      <x:c r="N31" s="9" t="str">
        <x:v>missing</x:v>
      </x:c>
      <x:c r="O31" s="9" t="str">
        <x:v>Dated synthesis/characterization/screen-revision records for specified materials and test conditions.</x:v>
      </x:c>
      <x:c r="P31" s="9" t="str">
        <x:v>false</x:v>
      </x:c>
      <x:c r="Q31" s="9" t="str">
        <x:v>false</x:v>
      </x:c>
      <x:c r="R31" s="9" t="str">
        <x:v>Materials discovery and screening</x:v>
      </x:c>
      <x:c r="S31" s="9" t="str">
        <x:v>absent</x:v>
      </x:c>
      <x:c r="T31" s="9" t="str">
        <x:v>No directly relevant canonical source located</x:v>
      </x:c>
      <x:c r="U31" s="9" t="str">
        <x:v>The ordinary loop must include candidate screening feedback, not just virtual ranking. A weeks-to-months 2 remains provisional; no canonical source measures this loop.</x:v>
      </x:c>
      <x:c r="V31" s="9" t="str">
        <x:v>No directly relevant measured screening cadence is available; qualification exposure times cannot be imported.</x:v>
      </x:c>
      <x:c r="W31" s="9" t="str">
        <x:v>not_applicable</x:v>
      </x:c>
      <x:c r="X31" s="9" t="str">
        <x:v>not_applicable</x:v>
      </x:c>
      <x:c r="Y31" s="9" t="str">
        <x:v>not_applicable</x:v>
      </x:c>
      <x:c r="Z31" s="9" t="str">
        <x:v>not_applicable</x:v>
      </x:c>
      <x:c r="AA31" s="9" t="str">
        <x:v>dr-sp-0019-s2-v1</x:v>
      </x:c>
    </x:row>
    <x:row r="32" ht="60" customHeight="1">
      <x:c r="A32" s="3" t="str">
        <x:v>sp-0019</x:v>
      </x:c>
      <x:c r="B32" s="3" t="str">
        <x:v>S3</x:v>
      </x:c>
      <x:c r="C32" s="13" t="n">
        <x:v>2</x:v>
      </x:c>
      <x:c r="D32" s="13" t="n">
        <x:v>2</x:v>
      </x:c>
      <x:c r="E32" s="13" t="n">
        <x:f>MIN(C32:D32)</x:f>
        <x:v>2</x:v>
      </x:c>
      <x:c r="F32" s="13" t="n">
        <x:f>MAX(C32:D32)</x:f>
        <x:v>2</x:v>
      </x:c>
      <x:c r="G32" s="3" t="str">
        <x:v>missing</x:v>
      </x:c>
      <x:c r="H32" s="13" t="n">
        <x:v>2</x:v>
      </x:c>
      <x:c r="I32" s="13" t="n">
        <x:v>2</x:v>
      </x:c>
      <x:c r="J32" s="3" t="str">
        <x:f>IF(H32=I32,"value","range")</x:f>
        <x:v>value</x:v>
      </x:c>
      <x:c r="K32" s="3" t="str">
        <x:v>low</x:v>
      </x:c>
      <x:c r="L32" s="3" t="str">
        <x:v>insufficient_evidence</x:v>
      </x:c>
      <x:c r="M32" s="3" t="str">
        <x:v>Keep the repeatable-but-resource-consuming candidate value without inventing empirical throughput.</x:v>
      </x:c>
      <x:c r="N32" s="3" t="str">
        <x:v>missing</x:v>
      </x:c>
      <x:c r="O32" s="3" t="str">
        <x:v>A costed screening campaign stating marginal sample cost and attainable parallel batches.</x:v>
      </x:c>
      <x:c r="P32" s="3" t="str">
        <x:v>false</x:v>
      </x:c>
      <x:c r="Q32" s="3" t="str">
        <x:v>false</x:v>
      </x:c>
      <x:c r="R32" s="3" t="str">
        <x:v>Materials discovery and screening</x:v>
      </x:c>
      <x:c r="S32" s="3" t="str">
        <x:v>absent</x:v>
      </x:c>
      <x:c r="T32" s="3" t="str">
        <x:v>No directly relevant canonical source located</x:v>
      </x:c>
      <x:c r="U32" s="3" t="str">
        <x:v>Computational candidate attempts are cheap and parallel; sample production and characterization cost material and instrument time while allowing batches. The consensus 2 is qualitative pending cost and attainable batch throughput evidence.</x:v>
      </x:c>
      <x:c r="V32" s="3" t="str">
        <x:v>No direct screening cost/throughput source; irradiation-qualification capacity is a different stage.</x:v>
      </x:c>
      <x:c r="W32" s="3" t="str">
        <x:v>not_applicable</x:v>
      </x:c>
      <x:c r="X32" s="3" t="str">
        <x:v>not_applicable</x:v>
      </x:c>
      <x:c r="Y32" s="3" t="str">
        <x:v>not_applicable</x:v>
      </x:c>
      <x:c r="Z32" s="3" t="str">
        <x:v>not_applicable</x:v>
      </x:c>
      <x:c r="AA32" s="3" t="str">
        <x:v>dr-sp-0019-s3-v1</x:v>
      </x:c>
    </x:row>
    <x:row r="33" ht="60" customHeight="1">
      <x:c r="A33" s="9" t="str">
        <x:v>sp-0019</x:v>
      </x:c>
      <x:c r="B33" s="9" t="str">
        <x:v>S4</x:v>
      </x:c>
      <x:c r="C33" s="12" t="n">
        <x:v>2</x:v>
      </x:c>
      <x:c r="D33" s="12" t="n">
        <x:v>2</x:v>
      </x:c>
      <x:c r="E33" s="12" t="n">
        <x:f>MIN(C33:D33)</x:f>
        <x:v>2</x:v>
      </x:c>
      <x:c r="F33" s="12" t="n">
        <x:f>MAX(C33:D33)</x:f>
        <x:v>2</x:v>
      </x:c>
      <x:c r="G33" s="9" t="str">
        <x:v>missing</x:v>
      </x:c>
      <x:c r="H33" s="12" t="n">
        <x:v>2</x:v>
      </x:c>
      <x:c r="I33" s="12" t="n">
        <x:v>2</x:v>
      </x:c>
      <x:c r="J33" s="9" t="str">
        <x:f>IF(H33=I33,"value","range")</x:f>
        <x:v>value</x:v>
      </x:c>
      <x:c r="K33" s="9" t="str">
        <x:v>low</x:v>
      </x:c>
      <x:c r="L33" s="9" t="str">
        <x:v>supports_current_record</x:v>
      </x:c>
      <x:c r="M33" s="9" t="str">
        <x:v>2 remains a bounded mixed-process recommendation, not a measured time share.</x:v>
      </x:c>
      <x:c r="N33" s="9" t="str">
        <x:v>fusion-src-027;fusion-src-028</x:v>
      </x:c>
      <x:c r="O33" s="9" t="str">
        <x:v>Revisit with material-specific preparation/exposure protocols or a computational-only pathway.</x:v>
      </x:c>
      <x:c r="P33" s="9" t="str">
        <x:v>false</x:v>
      </x:c>
      <x:c r="Q33" s="9" t="str">
        <x:v>false</x:v>
      </x:c>
      <x:c r="R33" s="9" t="str">
        <x:v>Materials discovery and screening</x:v>
      </x:c>
      <x:c r="S33" s="9" t="str">
        <x:v>target_programme_status</x:v>
      </x:c>
      <x:c r="T33" s="9" t="str">
        <x:v>programme announcement</x:v>
      </x:c>
      <x:c r="U33" s="9" t="str">
        <x:v>Sample preparation and characterization can create meaningful physical delay while computation remains flexible. Multi-year qualification is explicitly excluded, so it cannot lower this row to 0.</x:v>
      </x:c>
      <x:c r="V33" s="9" t="str">
        <x:v>Programme descriptions support the distinction only indirectly; they supply no accepted screening-duration dataset.</x:v>
      </x:c>
      <x:c r="W33" s="9" t="str">
        <x:v>not_applicable</x:v>
      </x:c>
      <x:c r="X33" s="9" t="str">
        <x:v>not_applicable</x:v>
      </x:c>
      <x:c r="Y33" s="9" t="str">
        <x:v>not_applicable</x:v>
      </x:c>
      <x:c r="Z33" s="9" t="str">
        <x:v>not_applicable</x:v>
      </x:c>
      <x:c r="AA33" s="9" t="str">
        <x:v>dr-sp-0019-s4-v1</x:v>
      </x:c>
    </x:row>
    <x:row r="34" ht="60" customHeight="1">
      <x:c r="A34" s="3" t="str">
        <x:v>sp-0019</x:v>
      </x:c>
      <x:c r="B34" s="3" t="str">
        <x:v>S5</x:v>
      </x:c>
      <x:c r="C34" s="13" t="n">
        <x:v>3</x:v>
      </x:c>
      <x:c r="D34" s="13" t="n">
        <x:v>3</x:v>
      </x:c>
      <x:c r="E34" s="13" t="n">
        <x:f>MIN(C34:D34)</x:f>
        <x:v>3</x:v>
      </x:c>
      <x:c r="F34" s="13" t="n">
        <x:f>MAX(C34:D34)</x:f>
        <x:v>3</x:v>
      </x:c>
      <x:c r="G34" s="3" t="str">
        <x:v>missing</x:v>
      </x:c>
      <x:c r="H34" s="13" t="n">
        <x:v>3</x:v>
      </x:c>
      <x:c r="I34" s="13" t="n">
        <x:v>3</x:v>
      </x:c>
      <x:c r="J34" s="3" t="str">
        <x:f>IF(H34=I34,"value","range")</x:f>
        <x:v>value</x:v>
      </x:c>
      <x:c r="K34" s="3" t="str">
        <x:v>low</x:v>
      </x:c>
      <x:c r="L34" s="3" t="str">
        <x:v>supports_current_record</x:v>
      </x:c>
      <x:c r="M34" s="3" t="str">
        <x:v>The shared intermediate 3 is reasonable for recoverable screening with opportunity losses.</x:v>
      </x:c>
      <x:c r="N34" s="3" t="str">
        <x:v>missing</x:v>
      </x:c>
      <x:c r="O34" s="3" t="str">
        <x:v>Revisit if screening bypasses independent qualification or feeds an irreversible commitment directly.</x:v>
      </x:c>
      <x:c r="P34" s="3" t="str">
        <x:v>false</x:v>
      </x:c>
      <x:c r="Q34" s="3" t="str">
        <x:v>false</x:v>
      </x:c>
      <x:c r="R34" s="3" t="str">
        <x:v>Materials discovery and screening</x:v>
      </x:c>
      <x:c r="S34" s="3" t="str">
        <x:v>absent</x:v>
      </x:c>
      <x:c r="T34" s="3" t="str">
        <x:v>No directly relevant canonical source located</x:v>
      </x:c>
      <x:c r="U34" s="3" t="str">
        <x:v>Screening errors can waste samples or prematurely discard useful candidates; false positives should encounter independent qualification. This is more consequential than a free rerun but does not import operating-material failures.</x:v>
      </x:c>
      <x:c r="V34" s="3" t="str">
        <x:v>No source measures screening error consequences; the recommendation is a bounded scope inference.</x:v>
      </x:c>
      <x:c r="W34" s="3" t="str">
        <x:v>Wasted screens, missed candidates and extra qualification preparation before independent qualification.</x:v>
      </x:c>
      <x:c r="X34" s="3" t="str">
        <x:v>Independent materials qualification before a candidate is released for engineering acceptance.</x:v>
      </x:c>
      <x:c r="Y34" s="3" t="str">
        <x:v>Plant-material failure after an independent qualification or fabrication acceptance error.</x:v>
      </x:c>
      <x:c r="Z34" s="3" t="str">
        <x:v>assumed_not_verified</x:v>
      </x:c>
      <x:c r="AA34" s="3" t="str">
        <x:v>dr-sp-0019-s5-v1</x:v>
      </x:c>
    </x:row>
    <x:row r="35" ht="60" customHeight="1">
      <x:c r="A35" s="9" t="str">
        <x:v>sp-0020</x:v>
      </x:c>
      <x:c r="B35" s="9" t="str">
        <x:v>S1</x:v>
      </x:c>
      <x:c r="C35" s="12" t="n">
        <x:v>1</x:v>
      </x:c>
      <x:c r="D35" s="12" t="n">
        <x:v>0</x:v>
      </x:c>
      <x:c r="E35" s="12" t="n">
        <x:f>MIN(C35:D35)</x:f>
        <x:v>0</x:v>
      </x:c>
      <x:c r="F35" s="12" t="n">
        <x:f>MAX(C35:D35)</x:f>
        <x:v>1</x:v>
      </x:c>
      <x:c r="G35" s="9" t="str">
        <x:v>missing</x:v>
      </x:c>
      <x:c r="H35" s="12" t="n">
        <x:v>0</x:v>
      </x:c>
      <x:c r="I35" s="12" t="n">
        <x:v>0</x:v>
      </x:c>
      <x:c r="J35" s="9" t="str">
        <x:f>IF(H35=I35,"value","range")</x:f>
        <x:v>value</x:v>
      </x:c>
      <x:c r="K35" s="9" t="str">
        <x:v>medium</x:v>
      </x:c>
      <x:c r="L35" s="9" t="str">
        <x:v>recommends_value_change</x:v>
      </x:c>
      <x:c r="M35" s="9" t="str">
        <x:v>Prefer independent 0 over seed 1 because the rubric says primarily physical, not exclusively physical.</x:v>
      </x:c>
      <x:c r="N35" s="9" t="str">
        <x:v>fusion-src-045;fusion-src-046</x:v>
      </x:c>
      <x:c r="O35" s="9" t="str">
        <x:v>Revisit if an accepted qualification route can materially replace representative exposure with validated analytical evidence.</x:v>
      </x:c>
      <x:c r="P35" s="9" t="str">
        <x:v>false</x:v>
      </x:c>
      <x:c r="Q35" s="9" t="str">
        <x:v>true</x:v>
      </x:c>
      <x:c r="R35" s="9" t="str">
        <x:v>Materials qualification</x:v>
      </x:c>
      <x:c r="S35" s="9" t="str">
        <x:v>target_programme_status</x:v>
      </x:c>
      <x:c r="T35" s="9" t="str">
        <x:v>model or scenario estimate; official target</x:v>
      </x:c>
      <x:c r="U35" s="9" t="str">
        <x:v>Qualification progress is established primarily by representative exposure and subsequent examination. Test planning and analysis remain essential, but their existence alone does not lift a primarily physical stage above the 0 endpoint.</x:v>
      </x:c>
      <x:c r="V35" s="9" t="str">
        <x:v>IFMIF-DONES directly describes the planned qualification chain; it is neither a completed dataset nor universal validation for all materials.</x:v>
      </x:c>
      <x:c r="W35" s="9" t="str">
        <x:v>not_applicable</x:v>
      </x:c>
      <x:c r="X35" s="9" t="str">
        <x:v>not_applicable</x:v>
      </x:c>
      <x:c r="Y35" s="9" t="str">
        <x:v>not_applicable</x:v>
      </x:c>
      <x:c r="Z35" s="9" t="str">
        <x:v>not_applicable</x:v>
      </x:c>
      <x:c r="AA35" s="9" t="str">
        <x:v>dr-sp-0020-s1-v1</x:v>
      </x:c>
    </x:row>
    <x:row r="36" ht="60" customHeight="1">
      <x:c r="A36" s="3" t="str">
        <x:v>sp-0020</x:v>
      </x:c>
      <x:c r="B36" s="3" t="str">
        <x:v>S2</x:v>
      </x:c>
      <x:c r="C36" s="13" t="n">
        <x:v>0</x:v>
      </x:c>
      <x:c r="D36" s="13" t="n">
        <x:v>0</x:v>
      </x:c>
      <x:c r="E36" s="13" t="n">
        <x:f>MIN(C36:D36)</x:f>
        <x:v>0</x:v>
      </x:c>
      <x:c r="F36" s="13" t="n">
        <x:f>MAX(C36:D36)</x:f>
        <x:v>0</x:v>
      </x:c>
      <x:c r="G36" s="3" t="str">
        <x:v>needs_better_evidence</x:v>
      </x:c>
      <x:c r="H36" s="13" t="n">
        <x:v>0</x:v>
      </x:c>
      <x:c r="I36" s="13" t="n">
        <x:v>0</x:v>
      </x:c>
      <x:c r="J36" s="3" t="str">
        <x:f>IF(H36=I36,"value","range")</x:f>
        <x:v>value</x:v>
      </x:c>
      <x:c r="K36" s="3" t="str">
        <x:v>medium</x:v>
      </x:c>
      <x:c r="L36" s="3" t="str">
        <x:v>supports_current_record</x:v>
      </x:c>
      <x:c r="M36" s="3" t="str">
        <x:v>Support the owner provisional 0 on improved source identity and technical grounds; completed accepted qualification remains missing.</x:v>
      </x:c>
      <x:c r="N36" s="3" t="str">
        <x:v>fusion-src-045;fusion-src-046</x:v>
      </x:c>
      <x:c r="O36" s="3" t="str">
        <x:v>Completion of representative irradiation and examination with a documented acceptance route, or a validated alternative qualification protocol.</x:v>
      </x:c>
      <x:c r="P36" s="3" t="str">
        <x:v>false</x:v>
      </x:c>
      <x:c r="Q36" s="3" t="str">
        <x:v>true</x:v>
      </x:c>
      <x:c r="R36" s="3" t="str">
        <x:v>Materials qualification</x:v>
      </x:c>
      <x:c r="S36" s="3" t="str">
        <x:v>target_programme_status</x:v>
      </x:c>
      <x:c r="T36" s="3" t="str">
        <x:v>model or scenario estimate; official target</x:v>
      </x:c>
      <x:c r="U36" s="3" t="str">
        <x:v>The planned HFTM campaigns require roughly 2.5-3 full-power years for specified damage/volume targets, followed by examination and acceptance. This supports a years-scale candidate 0 independently of construction or facility queues.</x:v>
      </x:c>
      <x:c r="V36" s="3" t="str">
        <x:v>These are design targets, not observed cycles. Eurofer-oriented transmutation matching cannot automatically qualify tungsten, copper or a different pilot load envelope.</x:v>
      </x:c>
      <x:c r="W36" s="3" t="str">
        <x:v>not_applicable</x:v>
      </x:c>
      <x:c r="X36" s="3" t="str">
        <x:v>not_applicable</x:v>
      </x:c>
      <x:c r="Y36" s="3" t="str">
        <x:v>not_applicable</x:v>
      </x:c>
      <x:c r="Z36" s="3" t="str">
        <x:v>not_applicable</x:v>
      </x:c>
      <x:c r="AA36" s="3" t="str">
        <x:v>dr-sp-0020-s2-v1</x:v>
      </x:c>
    </x:row>
    <x:row r="37" ht="76" customHeight="1">
      <x:c r="A37" s="9" t="str">
        <x:v>sp-0020</x:v>
      </x:c>
      <x:c r="B37" s="9" t="str">
        <x:v>S3</x:v>
      </x:c>
      <x:c r="C37" s="12" t="n">
        <x:v>1</x:v>
      </x:c>
      <x:c r="D37" s="12" t="n">
        <x:v>0</x:v>
      </x:c>
      <x:c r="E37" s="12" t="n">
        <x:f>MIN(C37:D37)</x:f>
        <x:v>0</x:v>
      </x:c>
      <x:c r="F37" s="12" t="n">
        <x:f>MAX(C37:D37)</x:f>
        <x:v>1</x:v>
      </x:c>
      <x:c r="G37" s="9" t="str">
        <x:v>missing</x:v>
      </x:c>
      <x:c r="H37" s="12" t="n">
        <x:v>0</x:v>
      </x:c>
      <x:c r="I37" s="12" t="n">
        <x:v>1</x:v>
      </x:c>
      <x:c r="J37" s="9" t="str">
        <x:f>IF(H37=I37,"value","range")</x:f>
        <x:v>range</x:v>
      </x:c>
      <x:c r="K37" s="9" t="str">
        <x:v>low</x:v>
      </x:c>
      <x:c r="L37" s="9" t="str">
        <x:v>requires_pathway_variant</x:v>
      </x:c>
      <x:c r="M37" s="9" t="str">
        <x:v>Preserve 0-1 and route by material/load-envelope qualification pathway rather than claiming zero parallelism.</x:v>
      </x:c>
      <x:c r="N37" s="9" t="str">
        <x:v>fusion-src-045;fusion-src-046</x:v>
      </x:c>
      <x:c r="O37" s="9" t="str">
        <x:v>A material-specific irradiation matrix with achievable volume, campaign costs, examinations and acceptance criteria.</x:v>
      </x:c>
      <x:c r="P37" s="9" t="str">
        <x:v>true</x:v>
      </x:c>
      <x:c r="Q37" s="9" t="str">
        <x:v>true</x:v>
      </x:c>
      <x:c r="R37" s="9" t="str">
        <x:v>Materials qualification</x:v>
      </x:c>
      <x:c r="S37" s="9" t="str">
        <x:v>target_programme_status</x:v>
      </x:c>
      <x:c r="T37" s="9" t="str">
        <x:v>model or scenario estimate; official target</x:v>
      </x:c>
      <x:c r="U37" s="9" t="str">
        <x:v>Adding a small specimen to an irradiation module can have modest marginal cost and batch parallelism. Representative fluence, temperature and material-specific transmutation matching limit usable volume and qualified-result throughput; a specimen count is not an accepted-material count.</x:v>
      </x:c>
      <x:c r="V37" s="9" t="str">
        <x:v>The HFTM targets are limited-volume designs. Eurofer versus tungsten/copper matching materially changes what counts as a useful attempt.</x:v>
      </x:c>
      <x:c r="W37" s="9" t="str">
        <x:v>not_applicable</x:v>
      </x:c>
      <x:c r="X37" s="9" t="str">
        <x:v>not_applicable</x:v>
      </x:c>
      <x:c r="Y37" s="9" t="str">
        <x:v>not_applicable</x:v>
      </x:c>
      <x:c r="Z37" s="9" t="str">
        <x:v>not_applicable</x:v>
      </x:c>
      <x:c r="AA37" s="9" t="str">
        <x:v>dr-sp-0020-s3-v1</x:v>
      </x:c>
    </x:row>
    <x:row r="38" ht="76" customHeight="1">
      <x:c r="A38" s="3" t="str">
        <x:v>sp-0020</x:v>
      </x:c>
      <x:c r="B38" s="3" t="str">
        <x:v>S4</x:v>
      </x:c>
      <x:c r="C38" s="13" t="n">
        <x:v>0</x:v>
      </x:c>
      <x:c r="D38" s="13" t="n">
        <x:v>0</x:v>
      </x:c>
      <x:c r="E38" s="13" t="n">
        <x:f>MIN(C38:D38)</x:f>
        <x:v>0</x:v>
      </x:c>
      <x:c r="F38" s="13" t="n">
        <x:f>MAX(C38:D38)</x:f>
        <x:v>0</x:v>
      </x:c>
      <x:c r="G38" s="3" t="str">
        <x:v>needs_better_evidence</x:v>
      </x:c>
      <x:c r="H38" s="13" t="n">
        <x:v>0</x:v>
      </x:c>
      <x:c r="I38" s="13" t="n">
        <x:v>0</x:v>
      </x:c>
      <x:c r="J38" s="3" t="str">
        <x:f>IF(H38=I38,"value","range")</x:f>
        <x:v>value</x:v>
      </x:c>
      <x:c r="K38" s="3" t="str">
        <x:v>medium</x:v>
      </x:c>
      <x:c r="L38" s="3" t="str">
        <x:v>supports_current_record</x:v>
      </x:c>
      <x:c r="M38" s="3" t="str">
        <x:v>Support owner provisional 0 while preserving the missing accepted dataset.</x:v>
      </x:c>
      <x:c r="N38" s="3" t="str">
        <x:v>fusion-src-045;fusion-src-046;fusion-src-026</x:v>
      </x:c>
      <x:c r="O38" s="3" t="str">
        <x:v>A validated acceleration/qualification equivalence or accepted exposure-plus-examination dataset for the specified material.</x:v>
      </x:c>
      <x:c r="P38" s="3" t="str">
        <x:v>false</x:v>
      </x:c>
      <x:c r="Q38" s="3" t="str">
        <x:v>true</x:v>
      </x:c>
      <x:c r="R38" s="3" t="str">
        <x:v>Materials qualification</x:v>
      </x:c>
      <x:c r="S38" s="3" t="str">
        <x:v>target_programme_status</x:v>
      </x:c>
      <x:c r="T38" s="3" t="str">
        <x:v>model or scenario estimate; official target; programme announcement</x:v>
      </x:c>
      <x:c r="U38" s="3" t="str">
        <x:v>Accumulating representative irradiation damage and then examining irradiated material create physical time floors. Faster analysis does not erase exposure; MPEX plasma exposure does not itself provide the neutron field. Facility construction and scheduling are not the basis for this 0.</x:v>
      </x:c>
      <x:c r="V38" s="3" t="str">
        <x:v>The planned multi-year floor is exact-stage design evidence, subject to dose-rate and spectrum applicability; no completed qualification outcome is inferred.</x:v>
      </x:c>
      <x:c r="W38" s="3" t="str">
        <x:v>not_applicable</x:v>
      </x:c>
      <x:c r="X38" s="3" t="str">
        <x:v>not_applicable</x:v>
      </x:c>
      <x:c r="Y38" s="3" t="str">
        <x:v>not_applicable</x:v>
      </x:c>
      <x:c r="Z38" s="3" t="str">
        <x:v>not_applicable</x:v>
      </x:c>
      <x:c r="AA38" s="3" t="str">
        <x:v>dr-sp-0020-s4-v1</x:v>
      </x:c>
    </x:row>
    <x:row r="39" ht="60" customHeight="1">
      <x:c r="A39" s="9" t="str">
        <x:v>sp-0020</x:v>
      </x:c>
      <x:c r="B39" s="9" t="str">
        <x:v>S5</x:v>
      </x:c>
      <x:c r="C39" s="12" t="n">
        <x:v>1</x:v>
      </x:c>
      <x:c r="D39" s="12" t="n">
        <x:v>0</x:v>
      </x:c>
      <x:c r="E39" s="12" t="n">
        <x:f>MIN(C39:D39)</x:f>
        <x:v>0</x:v>
      </x:c>
      <x:c r="F39" s="12" t="n">
        <x:f>MAX(C39:D39)</x:f>
        <x:v>1</x:v>
      </x:c>
      <x:c r="G39" s="9" t="str">
        <x:v>missing</x:v>
      </x:c>
      <x:c r="H39" s="12" t="n">
        <x:v>0</x:v>
      </x:c>
      <x:c r="I39" s="12" t="n">
        <x:v>1</x:v>
      </x:c>
      <x:c r="J39" s="9" t="str">
        <x:f>IF(H39=I39,"value","range")</x:f>
        <x:v>range</x:v>
      </x:c>
      <x:c r="K39" s="9" t="str">
        <x:v>low</x:v>
      </x:c>
      <x:c r="L39" s="9" t="str">
        <x:v>requires_human_expert</x:v>
      </x:c>
      <x:c r="M39" s="9" t="str">
        <x:v>A bounded 0-1 requires a qualification specialist to distinguish direct irreversible evidence loss from later independent acceptance failures.</x:v>
      </x:c>
      <x:c r="N39" s="9" t="str">
        <x:v>fusion-src-045;fusion-src-046</x:v>
      </x:c>
      <x:c r="O39" s="9" t="str">
        <x:v>An accepted qualification plan specifying responsibility, independent acceptance checks and the consequences of invalid irradiation/examination data.</x:v>
      </x:c>
      <x:c r="P39" s="9" t="str">
        <x:v>true</x:v>
      </x:c>
      <x:c r="Q39" s="9" t="str">
        <x:v>true</x:v>
      </x:c>
      <x:c r="R39" s="9" t="str">
        <x:v>Materials qualification</x:v>
      </x:c>
      <x:c r="S39" s="9" t="str">
        <x:v>target_programme_status</x:v>
      </x:c>
      <x:c r="T39" s="9" t="str">
        <x:v>model or scenario estimate; official target</x:v>
      </x:c>
      <x:c r="U39" s="9" t="str">
        <x:v>An erroneous test matrix can destroy irrecoverable exposure evidence; a false qualification conclusion can misdirect component acceptance before the next independent acceptance check. A failed specimen is informative, not itself a coding error or plant catastrophe.</x:v>
      </x:c>
      <x:c r="V39" s="9" t="str">
        <x:v>The irradiation designs do not establish the independence or coverage of downstream materials acceptance.</x:v>
      </x:c>
      <x:c r="W39" s="9" t="str">
        <x:v>Irrecoverable irradiation/examination loss and wrong immediate acceptance inputs before independent review.</x:v>
      </x:c>
      <x:c r="X39" s="9" t="str">
        <x:v>Independent component-design/material acceptance before a qualification claim authorizes manufacture or service.</x:v>
      </x:c>
      <x:c r="Y39" s="9" t="str">
        <x:v>Plant accidents requiring independent component acceptance, fabrication, commissioning or operating safeguards to fail.</x:v>
      </x:c>
      <x:c r="Z39" s="9" t="str">
        <x:v>assumed_not_verified</x:v>
      </x:c>
      <x:c r="AA39" s="9" t="str">
        <x:v>dr-sp-0020-s5-v1</x:v>
      </x:c>
    </x:row>
    <x:row r="40" ht="60" customHeight="1">
      <x:c r="A40" s="3" t="str">
        <x:v>sp-0021</x:v>
      </x:c>
      <x:c r="B40" s="3" t="str">
        <x:v>S1</x:v>
      </x:c>
      <x:c r="C40" s="13" t="n">
        <x:v>2</x:v>
      </x:c>
      <x:c r="D40" s="13" t="n">
        <x:v>2</x:v>
      </x:c>
      <x:c r="E40" s="13" t="n">
        <x:f>MIN(C40:D40)</x:f>
        <x:v>2</x:v>
      </x:c>
      <x:c r="F40" s="13" t="n">
        <x:f>MAX(C40:D40)</x:f>
        <x:v>2</x:v>
      </x:c>
      <x:c r="G40" s="3" t="str">
        <x:v>missing</x:v>
      </x:c>
      <x:c r="H40" s="13" t="n">
        <x:v>2</x:v>
      </x:c>
      <x:c r="I40" s="13" t="n">
        <x:v>2</x:v>
      </x:c>
      <x:c r="J40" s="3" t="str">
        <x:f>IF(H40=I40,"value","range")</x:f>
        <x:v>value</x:v>
      </x:c>
      <x:c r="K40" s="3" t="str">
        <x:v>medium</x:v>
      </x:c>
      <x:c r="L40" s="3" t="str">
        <x:v>supports_current_record</x:v>
      </x:c>
      <x:c r="M40" s="3" t="str">
        <x:v>Both coders correctly retain a mixed digital/physical 2.</x:v>
      </x:c>
      <x:c r="N40" s="3" t="str">
        <x:v>fusion-src-014</x:v>
      </x:c>
      <x:c r="O40" s="3" t="str">
        <x:v>Revisit on a scoped HTS/LTS magnet variant with a defined development test sequence.</x:v>
      </x:c>
      <x:c r="P40" s="3" t="str">
        <x:v>false</x:v>
      </x:c>
      <x:c r="Q40" s="3" t="str">
        <x:v>false</x:v>
      </x:c>
      <x:c r="R40" s="3" t="str">
        <x:v>Magnets</x:v>
      </x:c>
      <x:c r="S40" s="3" t="str">
        <x:v>exact_stage</x:v>
      </x:c>
      <x:c r="T40" s="3" t="str">
        <x:v>proof of concept</x:v>
      </x:c>
      <x:c r="U40" s="3" t="str">
        <x:v>Magnet design and analysis coexist with conductor, coil and test-article engineering inside development. Neither purely analytical work nor completed-facility operation describes this scope.</x:v>
      </x:c>
      <x:c r="V40" s="3" t="str">
        <x:v>HH70 demonstrates a research HTS magnet development route; transfer to large or compact high-field pilot magnets is limited.</x:v>
      </x:c>
      <x:c r="W40" s="3" t="str">
        <x:v>not_applicable</x:v>
      </x:c>
      <x:c r="X40" s="3" t="str">
        <x:v>not_applicable</x:v>
      </x:c>
      <x:c r="Y40" s="3" t="str">
        <x:v>not_applicable</x:v>
      </x:c>
      <x:c r="Z40" s="3" t="str">
        <x:v>not_applicable</x:v>
      </x:c>
      <x:c r="AA40" s="3" t="str">
        <x:v>dr-sp-0021-s1-v1</x:v>
      </x:c>
    </x:row>
    <x:row r="41" ht="60" customHeight="1">
      <x:c r="A41" s="9" t="str">
        <x:v>sp-0021</x:v>
      </x:c>
      <x:c r="B41" s="9" t="str">
        <x:v>S2</x:v>
      </x:c>
      <x:c r="C41" s="12" t="n">
        <x:v>1</x:v>
      </x:c>
      <x:c r="D41" s="12" t="n">
        <x:v>1</x:v>
      </x:c>
      <x:c r="E41" s="12" t="n">
        <x:f>MIN(C41:D41)</x:f>
        <x:v>1</x:v>
      </x:c>
      <x:c r="F41" s="12" t="n">
        <x:f>MAX(C41:D41)</x:f>
        <x:v>1</x:v>
      </x:c>
      <x:c r="G41" s="9" t="str">
        <x:v>missing</x:v>
      </x:c>
      <x:c r="H41" s="12" t="n">
        <x:v>1</x:v>
      </x:c>
      <x:c r="I41" s="12" t="n">
        <x:v>2</x:v>
      </x:c>
      <x:c r="J41" s="9" t="str">
        <x:f>IF(H41=I41,"value","range")</x:f>
        <x:v>range</x:v>
      </x:c>
      <x:c r="K41" s="9" t="str">
        <x:v>low</x:v>
      </x:c>
      <x:c r="L41" s="9" t="str">
        <x:v>requires_pathway_variant</x:v>
      </x:c>
      <x:c r="M41" s="9" t="str">
        <x:v>Route 1-2 by magnet technology and test scale instead of treating the shared 1 as measured.</x:v>
      </x:c>
      <x:c r="N41" s="9" t="str">
        <x:v>fusion-src-014;fusion-src-012</x:v>
      </x:c>
      <x:c r="O41" s="9" t="str">
        <x:v>A completed prototype test/revision history for each proposed conductor/coil pathway.</x:v>
      </x:c>
      <x:c r="P41" s="9" t="str">
        <x:v>false</x:v>
      </x:c>
      <x:c r="Q41" s="9" t="str">
        <x:v>true</x:v>
      </x:c>
      <x:c r="R41" s="9" t="str">
        <x:v>Magnets</x:v>
      </x:c>
      <x:c r="S41" s="9" t="str">
        <x:v>exact_stage;adjacent_stage_analogy</x:v>
      </x:c>
      <x:c r="T41" s="9" t="str">
        <x:v>proof of concept; observed facility milestone</x:v>
      </x:c>
      <x:c r="U41" s="9" t="str">
        <x:v>The loop is prototype/engineering revision followed by cryogenic and electromagnetic testing. A first-plasma date or whole-project build time does not measure the ordinary magnet revision cycle.</x:v>
      </x:c>
      <x:c r="V41" s="9" t="str">
        <x:v>Low-field research-device HTS engineering does not establish cycle timing for high-field stressed coils or conventional large-machine magnets.</x:v>
      </x:c>
      <x:c r="W41" s="9" t="str">
        <x:v>not_applicable</x:v>
      </x:c>
      <x:c r="X41" s="9" t="str">
        <x:v>not_applicable</x:v>
      </x:c>
      <x:c r="Y41" s="9" t="str">
        <x:v>not_applicable</x:v>
      </x:c>
      <x:c r="Z41" s="9" t="str">
        <x:v>not_applicable</x:v>
      </x:c>
      <x:c r="AA41" s="9" t="str">
        <x:v>dr-sp-0021-s2-v1</x:v>
      </x:c>
    </x:row>
    <x:row r="42" ht="60" customHeight="1">
      <x:c r="A42" s="3" t="str">
        <x:v>sp-0021</x:v>
      </x:c>
      <x:c r="B42" s="3" t="str">
        <x:v>S3</x:v>
      </x:c>
      <x:c r="C42" s="13" t="n">
        <x:v>1</x:v>
      </x:c>
      <x:c r="D42" s="13" t="n">
        <x:v>1</x:v>
      </x:c>
      <x:c r="E42" s="13" t="n">
        <x:f>MIN(C42:D42)</x:f>
        <x:v>1</x:v>
      </x:c>
      <x:c r="F42" s="13" t="n">
        <x:f>MAX(C42:D42)</x:f>
        <x:v>1</x:v>
      </x:c>
      <x:c r="G42" s="3" t="str">
        <x:v>missing</x:v>
      </x:c>
      <x:c r="H42" s="13" t="n">
        <x:v>1</x:v>
      </x:c>
      <x:c r="I42" s="13" t="n">
        <x:v>1</x:v>
      </x:c>
      <x:c r="J42" s="3" t="str">
        <x:f>IF(H42=I42,"value","range")</x:f>
        <x:v>value</x:v>
      </x:c>
      <x:c r="K42" s="3" t="str">
        <x:v>low</x:v>
      </x:c>
      <x:c r="L42" s="3" t="str">
        <x:v>supports_current_record</x:v>
      </x:c>
      <x:c r="M42" s="3" t="str">
        <x:v>Keep the low intermediate 1 qualitatively without repeating invented campaign rates or currency amounts.</x:v>
      </x:c>
      <x:c r="N42" s="3" t="str">
        <x:v>fusion-src-014</x:v>
      </x:c>
      <x:c r="O42" s="3" t="str">
        <x:v>Obtain cost and attainable test-slot data for sample, subscale coil and representative coil attempts.</x:v>
      </x:c>
      <x:c r="P42" s="3" t="str">
        <x:v>false</x:v>
      </x:c>
      <x:c r="Q42" s="3" t="str">
        <x:v>false</x:v>
      </x:c>
      <x:c r="R42" s="3" t="str">
        <x:v>Magnets</x:v>
      </x:c>
      <x:c r="S42" s="3" t="str">
        <x:v>exact_stage</x:v>
      </x:c>
      <x:c r="T42" s="3" t="str">
        <x:v>proof of concept</x:v>
      </x:c>
      <x:c r="U42" s="3" t="str">
        <x:v>Analytical and conductor-sample attempts can be affordable and parallel; representative coil tests require costly articles and specialized equipment, constraining decisive throughput.</x:v>
      </x:c>
      <x:c r="V42" s="3" t="str">
        <x:v>No canonical ledger establishes the submissions' monetary costs or annual test counts; those remain unsupported specifics.</x:v>
      </x:c>
      <x:c r="W42" s="3" t="str">
        <x:v>not_applicable</x:v>
      </x:c>
      <x:c r="X42" s="3" t="str">
        <x:v>not_applicable</x:v>
      </x:c>
      <x:c r="Y42" s="3" t="str">
        <x:v>not_applicable</x:v>
      </x:c>
      <x:c r="Z42" s="3" t="str">
        <x:v>not_applicable</x:v>
      </x:c>
      <x:c r="AA42" s="3" t="str">
        <x:v>dr-sp-0021-s3-v1</x:v>
      </x:c>
    </x:row>
    <x:row r="43" ht="60" customHeight="1">
      <x:c r="A43" s="9" t="str">
        <x:v>sp-0021</x:v>
      </x:c>
      <x:c r="B43" s="9" t="str">
        <x:v>S4</x:v>
      </x:c>
      <x:c r="C43" s="12" t="n">
        <x:v>1</x:v>
      </x:c>
      <x:c r="D43" s="12" t="n">
        <x:v>1</x:v>
      </x:c>
      <x:c r="E43" s="12" t="n">
        <x:f>MIN(C43:D43)</x:f>
        <x:v>1</x:v>
      </x:c>
      <x:c r="F43" s="12" t="n">
        <x:f>MAX(C43:D43)</x:f>
        <x:v>1</x:v>
      </x:c>
      <x:c r="G43" s="9" t="str">
        <x:v>missing</x:v>
      </x:c>
      <x:c r="H43" s="12" t="n">
        <x:v>1</x:v>
      </x:c>
      <x:c r="I43" s="12" t="n">
        <x:v>2</x:v>
      </x:c>
      <x:c r="J43" s="9" t="str">
        <x:f>IF(H43=I43,"value","range")</x:f>
        <x:v>range</x:v>
      </x:c>
      <x:c r="K43" s="9" t="str">
        <x:v>low</x:v>
      </x:c>
      <x:c r="L43" s="9" t="str">
        <x:v>recommends_range</x:v>
      </x:c>
      <x:c r="M43" s="9" t="str">
        <x:v>Retain 1-2 because the decisive physical sequence varies with the magnet route.</x:v>
      </x:c>
      <x:c r="N43" s="9" t="str">
        <x:v>fusion-src-014</x:v>
      </x:c>
      <x:c r="O43" s="9" t="str">
        <x:v>Measured prototype preparation, cooldown, test and recovery durations with queue time removed.</x:v>
      </x:c>
      <x:c r="P43" s="9" t="str">
        <x:v>false</x:v>
      </x:c>
      <x:c r="Q43" s="9" t="str">
        <x:v>false</x:v>
      </x:c>
      <x:c r="R43" s="9" t="str">
        <x:v>Magnets</x:v>
      </x:c>
      <x:c r="S43" s="9" t="str">
        <x:v>exact_stage</x:v>
      </x:c>
      <x:c r="T43" s="9" t="str">
        <x:v>proof of concept</x:v>
      </x:c>
      <x:c r="U43" s="9" t="str">
        <x:v>Prototype preparation and thermal/electrical test sequences impose physical delay; detailed design can proceed without those floors. Do not import mature production lead times or generic procurement queues.</x:v>
      </x:c>
      <x:c r="V43" s="9" t="str">
        <x:v>HH70 engineering supports a physical component but not a universal multi-week cooldown or cure duration across conductor/insulation designs.</x:v>
      </x:c>
      <x:c r="W43" s="9" t="str">
        <x:v>not_applicable</x:v>
      </x:c>
      <x:c r="X43" s="9" t="str">
        <x:v>not_applicable</x:v>
      </x:c>
      <x:c r="Y43" s="9" t="str">
        <x:v>not_applicable</x:v>
      </x:c>
      <x:c r="Z43" s="9" t="str">
        <x:v>not_applicable</x:v>
      </x:c>
      <x:c r="AA43" s="9" t="str">
        <x:v>dr-sp-0021-s4-v1</x:v>
      </x:c>
    </x:row>
    <x:row r="44" ht="60" customHeight="1">
      <x:c r="A44" s="3" t="str">
        <x:v>sp-0021</x:v>
      </x:c>
      <x:c r="B44" s="3" t="str">
        <x:v>S5</x:v>
      </x:c>
      <x:c r="C44" s="13" t="n">
        <x:v>1</x:v>
      </x:c>
      <x:c r="D44" s="13" t="n">
        <x:v>1</x:v>
      </x:c>
      <x:c r="E44" s="13" t="n">
        <x:f>MIN(C44:D44)</x:f>
        <x:v>1</x:v>
      </x:c>
      <x:c r="F44" s="13" t="n">
        <x:f>MAX(C44:D44)</x:f>
        <x:v>1</x:v>
      </x:c>
      <x:c r="G44" s="3" t="str">
        <x:v>missing</x:v>
      </x:c>
      <x:c r="H44" s="13" t="n">
        <x:v>1</x:v>
      </x:c>
      <x:c r="I44" s="13" t="n">
        <x:v>1</x:v>
      </x:c>
      <x:c r="J44" s="3" t="str">
        <x:f>IF(H44=I44,"value","range")</x:f>
        <x:v>value</x:v>
      </x:c>
      <x:c r="K44" s="3" t="str">
        <x:v>low</x:v>
      </x:c>
      <x:c r="L44" s="3" t="str">
        <x:v>supports_current_record</x:v>
      </x:c>
      <x:c r="M44" s="3" t="str">
        <x:v>Keep low tolerance without assigning all future plant consequences to magnet development.</x:v>
      </x:c>
      <x:c r="N44" s="3" t="str">
        <x:v>fusion-src-014</x:v>
      </x:c>
      <x:c r="O44" s="3" t="str">
        <x:v>Review the test-article energy envelope and independence of quench/electrical protection for a concrete variant.</x:v>
      </x:c>
      <x:c r="P44" s="3" t="str">
        <x:v>false</x:v>
      </x:c>
      <x:c r="Q44" s="3" t="str">
        <x:v>false</x:v>
      </x:c>
      <x:c r="R44" s="3" t="str">
        <x:v>Magnets</x:v>
      </x:c>
      <x:c r="S44" s="3" t="str">
        <x:v>exact_stage</x:v>
      </x:c>
      <x:c r="T44" s="3" t="str">
        <x:v>proof of concept</x:v>
      </x:c>
      <x:c r="U44" s="3" t="str">
        <x:v>Incorrect design or test operation can damage a high-value test article before independent quench/electrical protection. Many paper and low-energy test errors remain recoverable; not every quench is an erroneous stage output.</x:v>
      </x:c>
      <x:c r="V44" s="3" t="str">
        <x:v>The engineering paper is not a pilot stored-energy safety case; 1 remains conditional on bounded pre-integration exposure.</x:v>
      </x:c>
      <x:c r="W44" s="3" t="str">
        <x:v>Damage to the development article or test equipment before protection acts; wasted development work before acceptance.</x:v>
      </x:c>
      <x:c r="X44" s="3" t="str">
        <x:v>Independent test-stand quench/electrical protection and subsequent integration acceptance.</x:v>
      </x:c>
      <x:c r="Y44" s="3" t="str">
        <x:v>Operational plant cascades requiring later independent integration or plant-safety failures.</x:v>
      </x:c>
      <x:c r="Z44" s="3" t="str">
        <x:v>assumed_not_verified</x:v>
      </x:c>
      <x:c r="AA44" s="3" t="str">
        <x:v>dr-sp-0021-s5-v1</x:v>
      </x:c>
    </x:row>
    <x:row r="45" ht="44" customHeight="1">
      <x:c r="A45" s="9" t="str">
        <x:v>sp-0022</x:v>
      </x:c>
      <x:c r="B45" s="9" t="str">
        <x:v>S1</x:v>
      </x:c>
      <x:c r="C45" s="12" t="n">
        <x:v>2</x:v>
      </x:c>
      <x:c r="D45" s="12" t="n">
        <x:v>2</x:v>
      </x:c>
      <x:c r="E45" s="12" t="n">
        <x:f>MIN(C45:D45)</x:f>
        <x:v>2</x:v>
      </x:c>
      <x:c r="F45" s="12" t="n">
        <x:f>MAX(C45:D45)</x:f>
        <x:v>2</x:v>
      </x:c>
      <x:c r="G45" s="9" t="str">
        <x:v>missing</x:v>
      </x:c>
      <x:c r="H45" s="12" t="n">
        <x:v>2</x:v>
      </x:c>
      <x:c r="I45" s="12" t="n">
        <x:v>2</x:v>
      </x:c>
      <x:c r="J45" s="9" t="str">
        <x:f>IF(H45=I45,"value","range")</x:f>
        <x:v>value</x:v>
      </x:c>
      <x:c r="K45" s="9" t="str">
        <x:v>medium</x:v>
      </x:c>
      <x:c r="L45" s="9" t="str">
        <x:v>supports_current_record</x:v>
      </x:c>
      <x:c r="M45" s="9" t="str">
        <x:v>The mixed 2 is defensible from scope, with limited direct development evidence.</x:v>
      </x:c>
      <x:c r="N45" s="9" t="str">
        <x:v>fusion-src-029;fusion-src-034</x:v>
      </x:c>
      <x:c r="O45" s="9" t="str">
        <x:v>A pre-integration development account for the specific RF or neutral-beam route.</x:v>
      </x:c>
      <x:c r="P45" s="9" t="str">
        <x:v>false</x:v>
      </x:c>
      <x:c r="Q45" s="9" t="str">
        <x:v>false</x:v>
      </x:c>
      <x:c r="R45" s="9" t="str">
        <x:v>Heating and current drive</x:v>
      </x:c>
      <x:c r="S45" s="9" t="str">
        <x:v>adjacent_stage_analogy</x:v>
      </x:c>
      <x:c r="T45" s="9" t="str">
        <x:v>observed facility milestone; official target</x:v>
      </x:c>
      <x:c r="U45" s="9" t="str">
        <x:v>Heating/current-drive development combines modelling and control engineering with physical high-power source and coupling tests. Integrated facility commissioning is excluded.</x:v>
      </x:c>
      <x:c r="V45" s="9" t="str">
        <x:v>DIII-D upgrade reporting and JT-60SA component commissioning are adjacent hardware examples, not measurements of the whole development balance.</x:v>
      </x:c>
      <x:c r="W45" s="9" t="str">
        <x:v>not_applicable</x:v>
      </x:c>
      <x:c r="X45" s="9" t="str">
        <x:v>not_applicable</x:v>
      </x:c>
      <x:c r="Y45" s="9" t="str">
        <x:v>not_applicable</x:v>
      </x:c>
      <x:c r="Z45" s="9" t="str">
        <x:v>not_applicable</x:v>
      </x:c>
      <x:c r="AA45" s="9" t="str">
        <x:v>dr-sp-0022-s1-v1</x:v>
      </x:c>
    </x:row>
    <x:row r="46" ht="60" customHeight="1">
      <x:c r="A46" s="3" t="str">
        <x:v>sp-0022</x:v>
      </x:c>
      <x:c r="B46" s="3" t="str">
        <x:v>S2</x:v>
      </x:c>
      <x:c r="C46" s="13" t="n">
        <x:v>2</x:v>
      </x:c>
      <x:c r="D46" s="13" t="n">
        <x:v>1</x:v>
      </x:c>
      <x:c r="E46" s="13" t="n">
        <x:f>MIN(C46:D46)</x:f>
        <x:v>1</x:v>
      </x:c>
      <x:c r="F46" s="13" t="n">
        <x:f>MAX(C46:D46)</x:f>
        <x:v>2</x:v>
      </x:c>
      <x:c r="G46" s="3" t="str">
        <x:v>missing</x:v>
      </x:c>
      <x:c r="H46" s="13" t="n">
        <x:v>1</x:v>
      </x:c>
      <x:c r="I46" s="13" t="n">
        <x:v>2</x:v>
      </x:c>
      <x:c r="J46" s="3" t="str">
        <x:f>IF(H46=I46,"value","range")</x:f>
        <x:v>range</x:v>
      </x:c>
      <x:c r="K46" s="3" t="str">
        <x:v>low</x:v>
      </x:c>
      <x:c r="L46" s="3" t="str">
        <x:v>requires_pathway_variant</x:v>
      </x:c>
      <x:c r="M46" s="3" t="str">
        <x:v>Preserve 1-2 and request a route-specific cycle rather than selecting from adjacent project durations.</x:v>
      </x:c>
      <x:c r="N46" s="3" t="str">
        <x:v>fusion-src-029;fusion-src-034</x:v>
      </x:c>
      <x:c r="O46" s="3" t="str">
        <x:v>Completed source/launcher revision and full-power test records for each proposed H&amp;CD route.</x:v>
      </x:c>
      <x:c r="P46" s="3" t="str">
        <x:v>false</x:v>
      </x:c>
      <x:c r="Q46" s="3" t="str">
        <x:v>true</x:v>
      </x:c>
      <x:c r="R46" s="3" t="str">
        <x:v>Heating and current drive</x:v>
      </x:c>
      <x:c r="S46" s="3" t="str">
        <x:v>adjacent_stage_analogy</x:v>
      </x:c>
      <x:c r="T46" s="3" t="str">
        <x:v>observed facility milestone; official target</x:v>
      </x:c>
      <x:c r="U46" s="3" t="str">
        <x:v>The ordinary feedback loop is a subsystem revision and test, not an entire facility upgrade or a future plasma campaign date. Different source/launcher technologies may have different prototype and conditioning cycles.</x:v>
      </x:c>
      <x:c r="V46" s="3" t="str">
        <x:v>The reported eight-month DIII-D upgrade is operator reporting; JT-60SA future operations are a target. Neither directly times the frozen development loop.</x:v>
      </x:c>
      <x:c r="W46" s="3" t="str">
        <x:v>not_applicable</x:v>
      </x:c>
      <x:c r="X46" s="3" t="str">
        <x:v>not_applicable</x:v>
      </x:c>
      <x:c r="Y46" s="3" t="str">
        <x:v>not_applicable</x:v>
      </x:c>
      <x:c r="Z46" s="3" t="str">
        <x:v>not_applicable</x:v>
      </x:c>
      <x:c r="AA46" s="3" t="str">
        <x:v>dr-sp-0022-s2-v1</x:v>
      </x:c>
    </x:row>
    <x:row r="47" ht="60" customHeight="1">
      <x:c r="A47" s="9" t="str">
        <x:v>sp-0022</x:v>
      </x:c>
      <x:c r="B47" s="9" t="str">
        <x:v>S3</x:v>
      </x:c>
      <x:c r="C47" s="12" t="n">
        <x:v>1</x:v>
      </x:c>
      <x:c r="D47" s="12" t="n">
        <x:v>1</x:v>
      </x:c>
      <x:c r="E47" s="12" t="n">
        <x:f>MIN(C47:D47)</x:f>
        <x:v>1</x:v>
      </x:c>
      <x:c r="F47" s="12" t="n">
        <x:f>MAX(C47:D47)</x:f>
        <x:v>1</x:v>
      </x:c>
      <x:c r="G47" s="9" t="str">
        <x:v>missing</x:v>
      </x:c>
      <x:c r="H47" s="12" t="n">
        <x:v>1</x:v>
      </x:c>
      <x:c r="I47" s="12" t="n">
        <x:v>1</x:v>
      </x:c>
      <x:c r="J47" s="9" t="str">
        <x:f>IF(H47=I47,"value","range")</x:f>
        <x:v>value</x:v>
      </x:c>
      <x:c r="K47" s="9" t="str">
        <x:v>low</x:v>
      </x:c>
      <x:c r="L47" s="9" t="str">
        <x:v>supports_current_record</x:v>
      </x:c>
      <x:c r="M47" s="9" t="str">
        <x:v>Keep 1 as a low-confidence structural candidate, without claiming a few campaigns per year as fact.</x:v>
      </x:c>
      <x:c r="N47" s="9" t="str">
        <x:v>fusion-src-029;fusion-src-034</x:v>
      </x:c>
      <x:c r="O47" s="9" t="str">
        <x:v>Measured marginal attempt costs and available parallel full-power test capacity.</x:v>
      </x:c>
      <x:c r="P47" s="9" t="str">
        <x:v>false</x:v>
      </x:c>
      <x:c r="Q47" s="9" t="str">
        <x:v>false</x:v>
      </x:c>
      <x:c r="R47" s="9" t="str">
        <x:v>Heating and current drive</x:v>
      </x:c>
      <x:c r="S47" s="9" t="str">
        <x:v>adjacent_stage_analogy</x:v>
      </x:c>
      <x:c r="T47" s="9" t="str">
        <x:v>observed facility milestone; official target</x:v>
      </x:c>
      <x:c r="U47" s="9" t="str">
        <x:v>Modelling and low-power tests are cheaper and can run in parallel; representative source tests consume expensive equipment and specialized test stands, limiting decisive throughput.</x:v>
      </x:c>
      <x:c r="V47" s="9" t="str">
        <x:v>The canonical milestones identify systems but do not establish source-level unit costs or test-stand availability rates.</x:v>
      </x:c>
      <x:c r="W47" s="9" t="str">
        <x:v>not_applicable</x:v>
      </x:c>
      <x:c r="X47" s="9" t="str">
        <x:v>not_applicable</x:v>
      </x:c>
      <x:c r="Y47" s="9" t="str">
        <x:v>not_applicable</x:v>
      </x:c>
      <x:c r="Z47" s="9" t="str">
        <x:v>not_applicable</x:v>
      </x:c>
      <x:c r="AA47" s="9" t="str">
        <x:v>dr-sp-0022-s3-v1</x:v>
      </x:c>
    </x:row>
    <x:row r="48" ht="60" customHeight="1">
      <x:c r="A48" s="3" t="str">
        <x:v>sp-0022</x:v>
      </x:c>
      <x:c r="B48" s="3" t="str">
        <x:v>S4</x:v>
      </x:c>
      <x:c r="C48" s="13" t="n">
        <x:v>2</x:v>
      </x:c>
      <x:c r="D48" s="13" t="n">
        <x:v>1</x:v>
      </x:c>
      <x:c r="E48" s="13" t="n">
        <x:f>MIN(C48:D48)</x:f>
        <x:v>1</x:v>
      </x:c>
      <x:c r="F48" s="13" t="n">
        <x:f>MAX(C48:D48)</x:f>
        <x:v>2</x:v>
      </x:c>
      <x:c r="G48" s="3" t="str">
        <x:v>missing</x:v>
      </x:c>
      <x:c r="H48" s="13" t="n">
        <x:v>1</x:v>
      </x:c>
      <x:c r="I48" s="13" t="n">
        <x:v>2</x:v>
      </x:c>
      <x:c r="J48" s="3" t="str">
        <x:f>IF(H48=I48,"value","range")</x:f>
        <x:v>range</x:v>
      </x:c>
      <x:c r="K48" s="3" t="str">
        <x:v>low</x:v>
      </x:c>
      <x:c r="L48" s="3" t="str">
        <x:v>recommends_range</x:v>
      </x:c>
      <x:c r="M48" s="3" t="str">
        <x:v>1-2 preserves the uncertainty about physical delay versus analytical work.</x:v>
      </x:c>
      <x:c r="N48" s="3" t="str">
        <x:v>fusion-src-034;fusion-src-029</x:v>
      </x:c>
      <x:c r="O48" s="3" t="str">
        <x:v>A route-specific breakdown of conditioning/test time excluding institutional and supply queues.</x:v>
      </x:c>
      <x:c r="P48" s="3" t="str">
        <x:v>false</x:v>
      </x:c>
      <x:c r="Q48" s="3" t="str">
        <x:v>false</x:v>
      </x:c>
      <x:c r="R48" s="3" t="str">
        <x:v>Heating and current drive</x:v>
      </x:c>
      <x:c r="S48" s="3" t="str">
        <x:v>adjacent_stage_analogy</x:v>
      </x:c>
      <x:c r="T48" s="3" t="str">
        <x:v>official target; observed facility milestone</x:v>
      </x:c>
      <x:c r="U48" s="3" t="str">
        <x:v>Conditioning and thermal/vacuum/electrical test sequences can impose physical floors inside development. Procurement, administrative outages and later integrated commissioning do not establish this stage's S4.</x:v>
      </x:c>
      <x:c r="V48" s="3" t="str">
        <x:v>Adjacent commissioning evidence demonstrates sequence dependence, not a universally dominant development duration.</x:v>
      </x:c>
      <x:c r="W48" s="3" t="str">
        <x:v>not_applicable</x:v>
      </x:c>
      <x:c r="X48" s="3" t="str">
        <x:v>not_applicable</x:v>
      </x:c>
      <x:c r="Y48" s="3" t="str">
        <x:v>not_applicable</x:v>
      </x:c>
      <x:c r="Z48" s="3" t="str">
        <x:v>not_applicable</x:v>
      </x:c>
      <x:c r="AA48" s="3" t="str">
        <x:v>dr-sp-0022-s4-v1</x:v>
      </x:c>
    </x:row>
    <x:row r="49" ht="60" customHeight="1">
      <x:c r="A49" s="9" t="str">
        <x:v>sp-0022</x:v>
      </x:c>
      <x:c r="B49" s="9" t="str">
        <x:v>S5</x:v>
      </x:c>
      <x:c r="C49" s="12" t="n">
        <x:v>1</x:v>
      </x:c>
      <x:c r="D49" s="12" t="n">
        <x:v>1</x:v>
      </x:c>
      <x:c r="E49" s="12" t="n">
        <x:f>MIN(C49:D49)</x:f>
        <x:v>1</x:v>
      </x:c>
      <x:c r="F49" s="12" t="n">
        <x:f>MAX(C49:D49)</x:f>
        <x:v>1</x:v>
      </x:c>
      <x:c r="G49" s="9" t="str">
        <x:v>missing</x:v>
      </x:c>
      <x:c r="H49" s="12" t="n">
        <x:v>1</x:v>
      </x:c>
      <x:c r="I49" s="12" t="n">
        <x:v>1</x:v>
      </x:c>
      <x:c r="J49" s="9" t="str">
        <x:f>IF(H49=I49,"value","range")</x:f>
        <x:v>value</x:v>
      </x:c>
      <x:c r="K49" s="9" t="str">
        <x:v>low</x:v>
      </x:c>
      <x:c r="L49" s="9" t="str">
        <x:v>supports_current_record</x:v>
      </x:c>
      <x:c r="M49" s="9" t="str">
        <x:v>A low intermediate 1 remains defensible as a conditional structural recommendation.</x:v>
      </x:c>
      <x:c r="N49" s="9" t="str">
        <x:v>fusion-src-034</x:v>
      </x:c>
      <x:c r="O49" s="9" t="str">
        <x:v>Verify the independent test-stand protection and bounded high-power failure envelope.</x:v>
      </x:c>
      <x:c r="P49" s="9" t="str">
        <x:v>false</x:v>
      </x:c>
      <x:c r="Q49" s="9" t="str">
        <x:v>false</x:v>
      </x:c>
      <x:c r="R49" s="9" t="str">
        <x:v>Heating and current drive</x:v>
      </x:c>
      <x:c r="S49" s="9" t="str">
        <x:v>adjacent_stage_analogy</x:v>
      </x:c>
      <x:c r="T49" s="9" t="str">
        <x:v>official target</x:v>
      </x:c>
      <x:c r="U49" s="9" t="str">
        <x:v>A development error at high power can damage source or test equipment before independent electrical/interlock protection; recoverable low-power mistakes coexist with costly failures.</x:v>
      </x:c>
      <x:c r="V49" s="9" t="str">
        <x:v>Component commissioning is adjacent evidence and does not independently validate a pre-integration hazard analysis.</x:v>
      </x:c>
      <x:c r="W49" s="9" t="str">
        <x:v>Costly source or test-stand damage and local exposure before protection.</x:v>
      </x:c>
      <x:c r="X49" s="9" t="str">
        <x:v>Independent high-power test-stand interlocks/protection before release to integrated commissioning.</x:v>
      </x:c>
      <x:c r="Y49" s="9" t="str">
        <x:v>Plant accidents after independent integration acceptance or plant protection fails.</x:v>
      </x:c>
      <x:c r="Z49" s="9" t="str">
        <x:v>assumed_not_verified</x:v>
      </x:c>
      <x:c r="AA49" s="9" t="str">
        <x:v>dr-sp-0022-s5-v1</x:v>
      </x:c>
    </x:row>
    <x:row r="50" ht="44" customHeight="1">
      <x:c r="A50" s="3" t="str">
        <x:v>sp-0023</x:v>
      </x:c>
      <x:c r="B50" s="3" t="str">
        <x:v>S1</x:v>
      </x:c>
      <x:c r="C50" s="13" t="n">
        <x:v>2</x:v>
      </x:c>
      <x:c r="D50" s="13" t="n">
        <x:v>2</x:v>
      </x:c>
      <x:c r="E50" s="13" t="n">
        <x:f>MIN(C50:D50)</x:f>
        <x:v>2</x:v>
      </x:c>
      <x:c r="F50" s="13" t="n">
        <x:f>MAX(C50:D50)</x:f>
        <x:v>2</x:v>
      </x:c>
      <x:c r="G50" s="3" t="str">
        <x:v>missing</x:v>
      </x:c>
      <x:c r="H50" s="13" t="n">
        <x:v>2</x:v>
      </x:c>
      <x:c r="I50" s="13" t="n">
        <x:v>2</x:v>
      </x:c>
      <x:c r="J50" s="3" t="str">
        <x:f>IF(H50=I50,"value","range")</x:f>
        <x:v>value</x:v>
      </x:c>
      <x:c r="K50" s="3" t="str">
        <x:v>medium</x:v>
      </x:c>
      <x:c r="L50" s="3" t="str">
        <x:v>supports_current_record</x:v>
      </x:c>
      <x:c r="M50" s="3" t="str">
        <x:v>Both coders' mixed 2 remains defensible while the combined-environment gap stays open.</x:v>
      </x:c>
      <x:c r="N50" s="3" t="str">
        <x:v>fusion-src-026;fusion-src-027;fusion-src-023</x:v>
      </x:c>
      <x:c r="O50" s="3" t="str">
        <x:v>A development workflow for a specified PFC design with representative exposure requirements.</x:v>
      </x:c>
      <x:c r="P50" s="3" t="str">
        <x:v>false</x:v>
      </x:c>
      <x:c r="Q50" s="3" t="str">
        <x:v>false</x:v>
      </x:c>
      <x:c r="R50" s="3" t="str">
        <x:v>Plasma-facing components</x:v>
      </x:c>
      <x:c r="S50" s="3" t="str">
        <x:v>target_programme_status;adjacent_stage_analogy</x:v>
      </x:c>
      <x:c r="T50" s="3" t="str">
        <x:v>programme announcement; proof of concept</x:v>
      </x:c>
      <x:c r="U50" s="3" t="str">
        <x:v>PFC design couples thermal/material analysis to physical mock-ups and exposures. HEAT-ML is a simulation subset, not evidence that development is predominantly informational.</x:v>
      </x:c>
      <x:c r="V50" s="3" t="str">
        <x:v>MPEX plans address plasma-facing exposure; neither those plans nor a 15-tile SPARC calculation qualifies combined-environment component life.</x:v>
      </x:c>
      <x:c r="W50" s="3" t="str">
        <x:v>not_applicable</x:v>
      </x:c>
      <x:c r="X50" s="3" t="str">
        <x:v>not_applicable</x:v>
      </x:c>
      <x:c r="Y50" s="3" t="str">
        <x:v>not_applicable</x:v>
      </x:c>
      <x:c r="Z50" s="3" t="str">
        <x:v>not_applicable</x:v>
      </x:c>
      <x:c r="AA50" s="3" t="str">
        <x:v>dr-sp-0023-s1-v1</x:v>
      </x:c>
    </x:row>
    <x:row r="51" ht="60" customHeight="1">
      <x:c r="A51" s="9" t="str">
        <x:v>sp-0023</x:v>
      </x:c>
      <x:c r="B51" s="9" t="str">
        <x:v>S2</x:v>
      </x:c>
      <x:c r="C51" s="12" t="n">
        <x:v>1</x:v>
      </x:c>
      <x:c r="D51" s="12" t="n">
        <x:v>1</x:v>
      </x:c>
      <x:c r="E51" s="12" t="n">
        <x:f>MIN(C51:D51)</x:f>
        <x:v>1</x:v>
      </x:c>
      <x:c r="F51" s="12" t="n">
        <x:f>MAX(C51:D51)</x:f>
        <x:v>1</x:v>
      </x:c>
      <x:c r="G51" s="9" t="str">
        <x:v>missing</x:v>
      </x:c>
      <x:c r="H51" s="12" t="n">
        <x:v>0</x:v>
      </x:c>
      <x:c r="I51" s="12" t="n">
        <x:v>1</x:v>
      </x:c>
      <x:c r="J51" s="9" t="str">
        <x:f>IF(H51=I51,"value","range")</x:f>
        <x:v>range</x:v>
      </x:c>
      <x:c r="K51" s="9" t="str">
        <x:v>low</x:v>
      </x:c>
      <x:c r="L51" s="9" t="str">
        <x:v>insufficient_evidence</x:v>
      </x:c>
      <x:c r="M51" s="9" t="str">
        <x:v>Retain a low 0-1 candidate interval pending the defined development endpoint; no completed combined-environment result is inferred.</x:v>
      </x:c>
      <x:c r="N51" s="9" t="str">
        <x:v>fusion-src-026;fusion-src-045</x:v>
      </x:c>
      <x:c r="O51" s="9" t="str">
        <x:v>A documented combined-environment development test/revision sequence with endpoints and actual elapsed times.</x:v>
      </x:c>
      <x:c r="P51" s="9" t="str">
        <x:v>false</x:v>
      </x:c>
      <x:c r="Q51" s="9" t="str">
        <x:v>false</x:v>
      </x:c>
      <x:c r="R51" s="9" t="str">
        <x:v>Plasma-facing components</x:v>
      </x:c>
      <x:c r="S51" s="9" t="str">
        <x:v>target_programme_status;adjacent_stage_analogy</x:v>
      </x:c>
      <x:c r="T51" s="9" t="str">
        <x:v>programme announcement; model or scenario estimate</x:v>
      </x:c>
      <x:c r="U51" s="9" t="str">
        <x:v>Mock-up revision and heat-flux testing can be shorter than qualification, but a claim about representative combined neutron/thermal/cyclic response cannot use a short surrogate inference time. The ordinary decisive loop is not observed.</x:v>
      </x:c>
      <x:c r="V51" s="9" t="str">
        <x:v>Planned MPEX exposure is not a neutron source; IFMIF-DONES materials irradiation is adjacent and cannot supply integrated PFC feedback.</x:v>
      </x:c>
      <x:c r="W51" s="9" t="str">
        <x:v>not_applicable</x:v>
      </x:c>
      <x:c r="X51" s="9" t="str">
        <x:v>not_applicable</x:v>
      </x:c>
      <x:c r="Y51" s="9" t="str">
        <x:v>not_applicable</x:v>
      </x:c>
      <x:c r="Z51" s="9" t="str">
        <x:v>not_applicable</x:v>
      </x:c>
      <x:c r="AA51" s="9" t="str">
        <x:v>dr-sp-0023-s2-v1</x:v>
      </x:c>
    </x:row>
    <x:row r="52" ht="60" customHeight="1">
      <x:c r="A52" s="3" t="str">
        <x:v>sp-0023</x:v>
      </x:c>
      <x:c r="B52" s="3" t="str">
        <x:v>S3</x:v>
      </x:c>
      <x:c r="C52" s="13" t="n">
        <x:v>1</x:v>
      </x:c>
      <x:c r="D52" s="13" t="n">
        <x:v>1</x:v>
      </x:c>
      <x:c r="E52" s="13" t="n">
        <x:f>MIN(C52:D52)</x:f>
        <x:v>1</x:v>
      </x:c>
      <x:c r="F52" s="13" t="n">
        <x:f>MAX(C52:D52)</x:f>
        <x:v>1</x:v>
      </x:c>
      <x:c r="G52" s="3" t="str">
        <x:v>missing</x:v>
      </x:c>
      <x:c r="H52" s="13" t="n">
        <x:v>0</x:v>
      </x:c>
      <x:c r="I52" s="13" t="n">
        <x:v>1</x:v>
      </x:c>
      <x:c r="J52" s="3" t="str">
        <x:f>IF(H52=I52,"value","range")</x:f>
        <x:v>range</x:v>
      </x:c>
      <x:c r="K52" s="3" t="str">
        <x:v>low</x:v>
      </x:c>
      <x:c r="L52" s="3" t="str">
        <x:v>recommends_range</x:v>
      </x:c>
      <x:c r="M52" s="3" t="str">
        <x:v>0-1 captures severe physical validation scarcity while preserving possible batch testing.</x:v>
      </x:c>
      <x:c r="N52" s="3" t="str">
        <x:v>fusion-src-026;fusion-src-045</x:v>
      </x:c>
      <x:c r="O52" s="3" t="str">
        <x:v>Costed representative mock-up campaigns with simultaneous versus sequential environment coverage identified.</x:v>
      </x:c>
      <x:c r="P52" s="3" t="str">
        <x:v>false</x:v>
      </x:c>
      <x:c r="Q52" s="3" t="str">
        <x:v>false</x:v>
      </x:c>
      <x:c r="R52" s="3" t="str">
        <x:v>Plasma-facing components</x:v>
      </x:c>
      <x:c r="S52" s="3" t="str">
        <x:v>target_programme_status;adjacent_stage_analogy</x:v>
      </x:c>
      <x:c r="T52" s="3" t="str">
        <x:v>programme announcement; model or scenario estimate</x:v>
      </x:c>
      <x:c r="U52" s="3" t="str">
        <x:v>Small mock-ups can be fabricated and tested in batches at lower marginal cost; representative combined-environment attempts require scarce, costly facilities and limit usable throughput.</x:v>
      </x:c>
      <x:c r="V52" s="3" t="str">
        <x:v>Planned specimen or exposure capacity is not demonstrated qualified PFC throughput; separate-environment tests cannot be pooled as an integrated result.</x:v>
      </x:c>
      <x:c r="W52" s="3" t="str">
        <x:v>not_applicable</x:v>
      </x:c>
      <x:c r="X52" s="3" t="str">
        <x:v>not_applicable</x:v>
      </x:c>
      <x:c r="Y52" s="3" t="str">
        <x:v>not_applicable</x:v>
      </x:c>
      <x:c r="Z52" s="3" t="str">
        <x:v>not_applicable</x:v>
      </x:c>
      <x:c r="AA52" s="3" t="str">
        <x:v>dr-sp-0023-s3-v1</x:v>
      </x:c>
    </x:row>
    <x:row r="53" ht="60" customHeight="1">
      <x:c r="A53" s="9" t="str">
        <x:v>sp-0023</x:v>
      </x:c>
      <x:c r="B53" s="9" t="str">
        <x:v>S4</x:v>
      </x:c>
      <x:c r="C53" s="12" t="n">
        <x:v>1</x:v>
      </x:c>
      <x:c r="D53" s="12" t="n">
        <x:v>1</x:v>
      </x:c>
      <x:c r="E53" s="12" t="n">
        <x:f>MIN(C53:D53)</x:f>
        <x:v>1</x:v>
      </x:c>
      <x:c r="F53" s="12" t="n">
        <x:f>MAX(C53:D53)</x:f>
        <x:v>1</x:v>
      </x:c>
      <x:c r="G53" s="9" t="str">
        <x:v>missing</x:v>
      </x:c>
      <x:c r="H53" s="12" t="n">
        <x:v>0</x:v>
      </x:c>
      <x:c r="I53" s="12" t="n">
        <x:v>1</x:v>
      </x:c>
      <x:c r="J53" s="9" t="str">
        <x:f>IF(H53=I53,"value","range")</x:f>
        <x:v>range</x:v>
      </x:c>
      <x:c r="K53" s="9" t="str">
        <x:v>low</x:v>
      </x:c>
      <x:c r="L53" s="9" t="str">
        <x:v>requires_human_expert</x:v>
      </x:c>
      <x:c r="M53" s="9" t="str">
        <x:v>A specialist must establish which physical floors belong inside pre-integration development before narrowing 0-1.</x:v>
      </x:c>
      <x:c r="N53" s="9" t="str">
        <x:v>fusion-src-026;fusion-src-045</x:v>
      </x:c>
      <x:c r="O53" s="9" t="str">
        <x:v>A specified PFC lifetime envelope and technically justified combined/sequential exposure protocol.</x:v>
      </x:c>
      <x:c r="P53" s="9" t="str">
        <x:v>true</x:v>
      </x:c>
      <x:c r="Q53" s="9" t="str">
        <x:v>true</x:v>
      </x:c>
      <x:c r="R53" s="9" t="str">
        <x:v>Plasma-facing components</x:v>
      </x:c>
      <x:c r="S53" s="9" t="str">
        <x:v>target_programme_status;adjacent_stage_analogy</x:v>
      </x:c>
      <x:c r="T53" s="9" t="str">
        <x:v>programme announcement; model or scenario estimate</x:v>
      </x:c>
      <x:c r="U53" s="9" t="str">
        <x:v>Thermal cycling, erosion and irradiation exposure are physical processes, not institutional delay. Whether they dominate this development stage depends on the required representativeness and accepted sequence; qualification may not be silently imported wholesale.</x:v>
      </x:c>
      <x:c r="V53" s="9" t="str">
        <x:v>MPEX can test already irradiated samples but does not itself produce fusion-spectrum neutrons. Material-dependent DONES matching does not establish integrated PFC equivalence.</x:v>
      </x:c>
      <x:c r="W53" s="9" t="str">
        <x:v>not_applicable</x:v>
      </x:c>
      <x:c r="X53" s="9" t="str">
        <x:v>not_applicable</x:v>
      </x:c>
      <x:c r="Y53" s="9" t="str">
        <x:v>not_applicable</x:v>
      </x:c>
      <x:c r="Z53" s="9" t="str">
        <x:v>not_applicable</x:v>
      </x:c>
      <x:c r="AA53" s="9" t="str">
        <x:v>dr-sp-0023-s4-v1</x:v>
      </x:c>
    </x:row>
    <x:row r="54" ht="76" customHeight="1">
      <x:c r="A54" s="3" t="str">
        <x:v>sp-0023</x:v>
      </x:c>
      <x:c r="B54" s="3" t="str">
        <x:v>S5</x:v>
      </x:c>
      <x:c r="C54" s="13" t="n">
        <x:v>2</x:v>
      </x:c>
      <x:c r="D54" s="13" t="n">
        <x:v>1</x:v>
      </x:c>
      <x:c r="E54" s="13" t="n">
        <x:f>MIN(C54:D54)</x:f>
        <x:v>1</x:v>
      </x:c>
      <x:c r="F54" s="13" t="n">
        <x:f>MAX(C54:D54)</x:f>
        <x:v>2</x:v>
      </x:c>
      <x:c r="G54" s="3" t="str">
        <x:v>missing</x:v>
      </x:c>
      <x:c r="H54" s="13" t="n">
        <x:v>1</x:v>
      </x:c>
      <x:c r="I54" s="13" t="n">
        <x:v>2</x:v>
      </x:c>
      <x:c r="J54" s="3" t="str">
        <x:f>IF(H54=I54,"value","range")</x:f>
        <x:v>range</x:v>
      </x:c>
      <x:c r="K54" s="3" t="str">
        <x:v>low</x:v>
      </x:c>
      <x:c r="L54" s="3" t="str">
        <x:v>requires_human_expert</x:v>
      </x:c>
      <x:c r="M54" s="3" t="str">
        <x:v>Preserve 1-2; the seed excludes all escaped harm, while the independent rationale may import later plasma operation.</x:v>
      </x:c>
      <x:c r="N54" s="3" t="str">
        <x:v>fusion-src-026</x:v>
      </x:c>
      <x:c r="O54" s="3" t="str">
        <x:v>An independently reviewed PFC development acceptance and test-stand protection plan.</x:v>
      </x:c>
      <x:c r="P54" s="3" t="str">
        <x:v>true</x:v>
      </x:c>
      <x:c r="Q54" s="3" t="str">
        <x:v>true</x:v>
      </x:c>
      <x:c r="R54" s="3" t="str">
        <x:v>Plasma-facing components</x:v>
      </x:c>
      <x:c r="S54" s="3" t="str">
        <x:v>target_programme_status</x:v>
      </x:c>
      <x:c r="T54" s="3" t="str">
        <x:v>programme announcement</x:v>
      </x:c>
      <x:c r="U54" s="3" t="str">
        <x:v>Failure of a mock-up can be informative; erroneous test conduct or release of an unrepresentative component claim can lose costly tests or damage receiving test equipment before independent acceptance. Operating-machine consequences stop at that acceptance boundary.</x:v>
      </x:c>
      <x:c r="V54" s="3" t="str">
        <x:v>The planned exposure facility does not document independent PFC design acceptance or an escaped-error consequence envelope.</x:v>
      </x:c>
      <x:c r="W54" s="3" t="str">
        <x:v>Lost mock-ups, invalid exposure data and test-equipment consequences before independent acceptance/protection.</x:v>
      </x:c>
      <x:c r="X54" s="3" t="str">
        <x:v>Independent PFC design/test acceptance and receiving test-stand protection before integrated commissioning.</x:v>
      </x:c>
      <x:c r="Y54" s="3" t="str">
        <x:v>Operating-plant contamination or damage requiring later independent integration and commissioning checks to fail.</x:v>
      </x:c>
      <x:c r="Z54" s="3" t="str">
        <x:v>assumed_not_verified</x:v>
      </x:c>
      <x:c r="AA54" s="3" t="str">
        <x:v>dr-sp-0023-s5-v1</x:v>
      </x:c>
    </x:row>
    <x:row r="55" ht="60" customHeight="1">
      <x:c r="A55" s="9" t="str">
        <x:v>sp-0024</x:v>
      </x:c>
      <x:c r="B55" s="9" t="str">
        <x:v>S1</x:v>
      </x:c>
      <x:c r="C55" s="12" t="n">
        <x:v>1</x:v>
      </x:c>
      <x:c r="D55" s="12" t="n">
        <x:v>1</x:v>
      </x:c>
      <x:c r="E55" s="12" t="n">
        <x:f>MIN(C55:D55)</x:f>
        <x:v>1</x:v>
      </x:c>
      <x:c r="F55" s="12" t="n">
        <x:f>MAX(C55:D55)</x:f>
        <x:v>1</x:v>
      </x:c>
      <x:c r="G55" s="9" t="str">
        <x:v>missing</x:v>
      </x:c>
      <x:c r="H55" s="12" t="n">
        <x:v>1</x:v>
      </x:c>
      <x:c r="I55" s="12" t="n">
        <x:v>2</x:v>
      </x:c>
      <x:c r="J55" s="9" t="str">
        <x:f>IF(H55=I55,"value","range")</x:f>
        <x:v>range</x:v>
      </x:c>
      <x:c r="K55" s="9" t="str">
        <x:v>low</x:v>
      </x:c>
      <x:c r="L55" s="9" t="str">
        <x:v>recommends_range</x:v>
      </x:c>
      <x:c r="M55" s="9" t="str">
        <x:v>Broaden the shared 1 to 1-2 rather than infer work composition from missing pilot data.</x:v>
      </x:c>
      <x:c r="N55" s="9" t="str">
        <x:v>fusion-src-028;fusion-src-038</x:v>
      </x:c>
      <x:c r="O55" s="9" t="str">
        <x:v>A specified fuel-cycle subsystem development workflow, with simulations and physical tests separated.</x:v>
      </x:c>
      <x:c r="P55" s="9" t="str">
        <x:v>false</x:v>
      </x:c>
      <x:c r="Q55" s="9" t="str">
        <x:v>false</x:v>
      </x:c>
      <x:c r="R55" s="9" t="str">
        <x:v>Tritium and fuel cycle</x:v>
      </x:c>
      <x:c r="S55" s="9" t="str">
        <x:v>target_programme_status</x:v>
      </x:c>
      <x:c r="T55" s="9" t="str">
        <x:v>programme announcement</x:v>
      </x:c>
      <x:c r="U55" s="9" t="str">
        <x:v>Inventory/process design is informational, while handling, extraction and processing tests are physical. The sources establish both functions but not that physical work predominates across all pre-integration development.</x:v>
      </x:c>
      <x:c r="V55" s="9" t="str">
        <x:v>The roadmap and future breeding programme do not demonstrate an integrated self-sufficient fuel cycle.</x:v>
      </x:c>
      <x:c r="W55" s="9" t="str">
        <x:v>not_applicable</x:v>
      </x:c>
      <x:c r="X55" s="9" t="str">
        <x:v>not_applicable</x:v>
      </x:c>
      <x:c r="Y55" s="9" t="str">
        <x:v>not_applicable</x:v>
      </x:c>
      <x:c r="Z55" s="9" t="str">
        <x:v>not_applicable</x:v>
      </x:c>
      <x:c r="AA55" s="9" t="str">
        <x:v>dr-sp-0024-s1-v1</x:v>
      </x:c>
    </x:row>
    <x:row r="56" ht="108" customHeight="1">
      <x:c r="A56" s="3" t="str">
        <x:v>sp-0024</x:v>
      </x:c>
      <x:c r="B56" s="3" t="str">
        <x:v>S2</x:v>
      </x:c>
      <x:c r="C56" s="13" t="n">
        <x:v>1</x:v>
      </x:c>
      <x:c r="D56" s="13" t="n">
        <x:v>1</x:v>
      </x:c>
      <x:c r="E56" s="13" t="n">
        <x:f>MIN(C56:D56)</x:f>
        <x:v>1</x:v>
      </x:c>
      <x:c r="F56" s="13" t="n">
        <x:f>MAX(C56:D56)</x:f>
        <x:v>1</x:v>
      </x:c>
      <x:c r="G56" s="3" t="str">
        <x:v>missing</x:v>
      </x:c>
      <x:c r="H56" s="13" t="n">
        <x:v>1</x:v>
      </x:c>
      <x:c r="I56" s="13" t="n">
        <x:v>1</x:v>
      </x:c>
      <x:c r="J56" s="3" t="str">
        <x:f>IF(H56=I56,"value","range")</x:f>
        <x:v>value</x:v>
      </x:c>
      <x:c r="K56" s="3" t="str">
        <x:v>low</x:v>
      </x:c>
      <x:c r="L56" s="3" t="str">
        <x:v>supports_current_record</x:v>
      </x:c>
      <x:c r="M56" s="3" t="str">
        <x:v>Support both original coder values at 1 without treating the open integrated outcome as a prerequisite for each pre-integration learning loop.</x:v>
      </x:c>
      <x:c r="N56" s="3" t="str">
        <x:v>fusion-src-038;fusion-src-028</x:v>
      </x:c>
      <x:c r="O56" s="3" t="str">
        <x:v>Revisit if reviewed representative tritium-capable subsystem revision records support a materially different ordinary loop.</x:v>
      </x:c>
      <x:c r="P56" s="3" t="str">
        <x:v>false</x:v>
      </x:c>
      <x:c r="Q56" s="3" t="str">
        <x:v>false</x:v>
      </x:c>
      <x:c r="R56" s="3" t="str">
        <x:v>Tritium and fuel cycle</x:v>
      </x:c>
      <x:c r="S56" s="3" t="str">
        <x:v>target_programme_status</x:v>
      </x:c>
      <x:c r="T56" s="3" t="str">
        <x:v>programme announcement</x:v>
      </x:c>
      <x:c r="U56" s="3" t="str">
        <x:v>The frozen row covers pilot-relevant tritium/fuel-cycle design, engineering, testing and pre-integration. The missing integrated self-sufficient breeder, extraction, processing and inventory-closure outcome remains gap-04, but that later integrated outcome is outside the ordinary feedback loop of this pre-integration development stage. Representative tritium-capable subsystem revisions remain scarce and slow, supporting 1 as the most defensible bounded candidate rather than an observed duration.</x:v>
      </x:c>
      <x:c r="V56" s="3" t="str">
        <x:v>The programme sources identify relevant functions but do not observe the duration of a representative tritium-capable subsystem revision or demonstrate self-sufficiency.</x:v>
      </x:c>
      <x:c r="W56" s="3" t="str">
        <x:v>not_applicable</x:v>
      </x:c>
      <x:c r="X56" s="3" t="str">
        <x:v>not_applicable</x:v>
      </x:c>
      <x:c r="Y56" s="3" t="str">
        <x:v>not_applicable</x:v>
      </x:c>
      <x:c r="Z56" s="3" t="str">
        <x:v>not_applicable</x:v>
      </x:c>
      <x:c r="AA56" s="3" t="str">
        <x:v>dr-sp-0024-s2-v1</x:v>
      </x:c>
    </x:row>
    <x:row r="57" ht="60" customHeight="1">
      <x:c r="A57" s="9" t="str">
        <x:v>sp-0024</x:v>
      </x:c>
      <x:c r="B57" s="9" t="str">
        <x:v>S3</x:v>
      </x:c>
      <x:c r="C57" s="12" t="n">
        <x:v>1</x:v>
      </x:c>
      <x:c r="D57" s="12" t="n">
        <x:v>0</x:v>
      </x:c>
      <x:c r="E57" s="12" t="n">
        <x:f>MIN(C57:D57)</x:f>
        <x:v>0</x:v>
      </x:c>
      <x:c r="F57" s="12" t="n">
        <x:f>MAX(C57:D57)</x:f>
        <x:v>1</x:v>
      </x:c>
      <x:c r="G57" s="9" t="str">
        <x:v>prefer_seed</x:v>
      </x:c>
      <x:c r="H57" s="12" t="n">
        <x:v>1</x:v>
      </x:c>
      <x:c r="I57" s="12" t="n">
        <x:v>1</x:v>
      </x:c>
      <x:c r="J57" s="9" t="str">
        <x:f>IF(H57=I57,"value","range")</x:f>
        <x:v>value</x:v>
      </x:c>
      <x:c r="K57" s="9" t="str">
        <x:v>low</x:v>
      </x:c>
      <x:c r="L57" s="9" t="str">
        <x:v>supports_current_record</x:v>
      </x:c>
      <x:c r="M57" s="9" t="str">
        <x:v>Support owner 1 because the scope includes repeatable subsystem work as well as scarce integrated testing.</x:v>
      </x:c>
      <x:c r="N57" s="9" t="str">
        <x:v>fusion-src-038;fusion-src-028</x:v>
      </x:c>
      <x:c r="O57" s="9" t="str">
        <x:v>Cost and attainable test capacity for surrogate, tritium-subsystem and integrated-loop attempts, reported separately.</x:v>
      </x:c>
      <x:c r="P57" s="9" t="str">
        <x:v>false</x:v>
      </x:c>
      <x:c r="Q57" s="9" t="str">
        <x:v>false</x:v>
      </x:c>
      <x:c r="R57" s="9" t="str">
        <x:v>Tritium and fuel cycle</x:v>
      </x:c>
      <x:c r="S57" s="9" t="str">
        <x:v>target_programme_status</x:v>
      </x:c>
      <x:c r="T57" s="9" t="str">
        <x:v>programme announcement</x:v>
      </x:c>
      <x:c r="U57" s="9" t="str">
        <x:v>Modelling, surrogate loops and subsystem attempts can be relatively cheap and repeatable. Tritium-capable representative tests require inventory and specialized facilities, sharply restricting decisive throughput.</x:v>
      </x:c>
      <x:c r="V57" s="9" t="str">
        <x:v>The canonical set supplies no observed cost/throughput ledger or complete pilot-scale loop.</x:v>
      </x:c>
      <x:c r="W57" s="9" t="str">
        <x:v>not_applicable</x:v>
      </x:c>
      <x:c r="X57" s="9" t="str">
        <x:v>not_applicable</x:v>
      </x:c>
      <x:c r="Y57" s="9" t="str">
        <x:v>not_applicable</x:v>
      </x:c>
      <x:c r="Z57" s="9" t="str">
        <x:v>not_applicable</x:v>
      </x:c>
      <x:c r="AA57" s="9" t="str">
        <x:v>dr-sp-0024-s3-v1</x:v>
      </x:c>
    </x:row>
    <x:row r="58" ht="60" customHeight="1">
      <x:c r="A58" s="3" t="str">
        <x:v>sp-0024</x:v>
      </x:c>
      <x:c r="B58" s="3" t="str">
        <x:v>S4</x:v>
      </x:c>
      <x:c r="C58" s="13" t="n">
        <x:v>1</x:v>
      </x:c>
      <x:c r="D58" s="13" t="n">
        <x:v>1</x:v>
      </x:c>
      <x:c r="E58" s="13" t="n">
        <x:f>MIN(C58:D58)</x:f>
        <x:v>1</x:v>
      </x:c>
      <x:c r="F58" s="13" t="n">
        <x:f>MAX(C58:D58)</x:f>
        <x:v>1</x:v>
      </x:c>
      <x:c r="G58" s="3" t="str">
        <x:v>missing</x:v>
      </x:c>
      <x:c r="H58" s="13" t="n">
        <x:v>1</x:v>
      </x:c>
      <x:c r="I58" s="13" t="n">
        <x:v>2</x:v>
      </x:c>
      <x:c r="J58" s="3" t="str">
        <x:f>IF(H58=I58,"value","range")</x:f>
        <x:v>range</x:v>
      </x:c>
      <x:c r="K58" s="3" t="str">
        <x:v>low</x:v>
      </x:c>
      <x:c r="L58" s="3" t="str">
        <x:v>requires_human_expert</x:v>
      </x:c>
      <x:c r="M58" s="3" t="str">
        <x:v>1-2 requires a fuel-cycle specialist to separate intrinsic processes from access delay and later integrated operation.</x:v>
      </x:c>
      <x:c r="N58" s="3" t="str">
        <x:v>fusion-src-038;fusion-src-028</x:v>
      </x:c>
      <x:c r="O58" s="3" t="str">
        <x:v>A process-specific duration budget for physical tests, excluding approval and facility booking waits.</x:v>
      </x:c>
      <x:c r="P58" s="3" t="str">
        <x:v>true</x:v>
      </x:c>
      <x:c r="Q58" s="3" t="str">
        <x:v>true</x:v>
      </x:c>
      <x:c r="R58" s="3" t="str">
        <x:v>Tritium and fuel cycle</x:v>
      </x:c>
      <x:c r="S58" s="3" t="str">
        <x:v>target_programme_status</x:v>
      </x:c>
      <x:c r="T58" s="3" t="str">
        <x:v>programme announcement</x:v>
      </x:c>
      <x:c r="U58" s="3" t="str">
        <x:v>Retention/permeation, equilibration, inventory residence and physical conditioning can set test-duration floors. Licensing windows and authorization queues are institutional and must be removed from the seed S4 rationale.</x:v>
      </x:c>
      <x:c r="V58" s="3" t="str">
        <x:v>The cited programme sources do not establish which of these processes dominates a specified pre-integration development loop.</x:v>
      </x:c>
      <x:c r="W58" s="3" t="str">
        <x:v>not_applicable</x:v>
      </x:c>
      <x:c r="X58" s="3" t="str">
        <x:v>not_applicable</x:v>
      </x:c>
      <x:c r="Y58" s="3" t="str">
        <x:v>not_applicable</x:v>
      </x:c>
      <x:c r="Z58" s="3" t="str">
        <x:v>not_applicable</x:v>
      </x:c>
      <x:c r="AA58" s="3" t="str">
        <x:v>dr-sp-0024-s4-v1</x:v>
      </x:c>
    </x:row>
    <x:row r="59" ht="60" customHeight="1">
      <x:c r="A59" s="9" t="str">
        <x:v>sp-0024</x:v>
      </x:c>
      <x:c r="B59" s="9" t="str">
        <x:v>S5</x:v>
      </x:c>
      <x:c r="C59" s="12" t="n">
        <x:v>1</x:v>
      </x:c>
      <x:c r="D59" s="12" t="n">
        <x:v>0</x:v>
      </x:c>
      <x:c r="E59" s="12" t="n">
        <x:f>MIN(C59:D59)</x:f>
        <x:v>0</x:v>
      </x:c>
      <x:c r="F59" s="12" t="n">
        <x:f>MAX(C59:D59)</x:f>
        <x:v>1</x:v>
      </x:c>
      <x:c r="G59" s="9" t="str">
        <x:v>prefer_seed</x:v>
      </x:c>
      <x:c r="H59" s="12" t="n">
        <x:v>1</x:v>
      </x:c>
      <x:c r="I59" s="12" t="n">
        <x:v>1</x:v>
      </x:c>
      <x:c r="J59" s="9" t="str">
        <x:f>IF(H59=I59,"value","range")</x:f>
        <x:v>value</x:v>
      </x:c>
      <x:c r="K59" s="9" t="str">
        <x:v>low</x:v>
      </x:c>
      <x:c r="L59" s="9" t="str">
        <x:v>requires_human_expert</x:v>
      </x:c>
      <x:c r="M59" s="9" t="str">
        <x:v>Owner 1 is technically plausible but needs a named specialist to substantiate the boundary before approval.</x:v>
      </x:c>
      <x:c r="N59" s="9" t="str">
        <x:v>fusion-src-038;fusion-src-028</x:v>
      </x:c>
      <x:c r="O59" s="9" t="str">
        <x:v>A development-loop inventory, release envelope and independent confinement/accountancy assurance analysis.</x:v>
      </x:c>
      <x:c r="P59" s="9" t="str">
        <x:v>true</x:v>
      </x:c>
      <x:c r="Q59" s="9" t="str">
        <x:v>true</x:v>
      </x:c>
      <x:c r="R59" s="9" t="str">
        <x:v>Tritium and fuel cycle</x:v>
      </x:c>
      <x:c r="S59" s="9" t="str">
        <x:v>target_programme_status</x:v>
      </x:c>
      <x:c r="T59" s="9" t="str">
        <x:v>programme announcement</x:v>
      </x:c>
      <x:c r="U59" s="9" t="str">
        <x:v>Erroneous tritium handling or accountancy can cause direct contamination or loss before independent confinement/monitoring acts. Many development mistakes remain recoverable; downstream plant-wide cascades are outside this bounded assessment.</x:v>
      </x:c>
      <x:c r="V59" s="9" t="str">
        <x:v>The programme sources are not a development safety case and do not establish the independence of credited containment.</x:v>
      </x:c>
      <x:c r="W59" s="9" t="str">
        <x:v>Tritium loss, local contamination and invalid inventory results before independent containment/monitoring.</x:v>
      </x:c>
      <x:c r="X59" s="9" t="str">
        <x:v>Independent secondary confinement/isolation and separately verified inventory or release monitoring.</x:v>
      </x:c>
      <x:c r="Y59" s="9" t="str">
        <x:v>Remote public or plant-wide cascades requiring additional independent confinement or operating failures.</x:v>
      </x:c>
      <x:c r="Z59" s="9" t="str">
        <x:v>assumed_not_verified</x:v>
      </x:c>
      <x:c r="AA59" s="9" t="str">
        <x:v>dr-sp-0024-s5-v1</x:v>
      </x:c>
    </x:row>
    <x:row r="60" ht="60" customHeight="1">
      <x:c r="A60" s="3" t="str">
        <x:v>sp-0025</x:v>
      </x:c>
      <x:c r="B60" s="3" t="str">
        <x:v>S1</x:v>
      </x:c>
      <x:c r="C60" s="13" t="n">
        <x:v>2</x:v>
      </x:c>
      <x:c r="D60" s="13" t="n">
        <x:v>2</x:v>
      </x:c>
      <x:c r="E60" s="13" t="n">
        <x:f>MIN(C60:D60)</x:f>
        <x:v>2</x:v>
      </x:c>
      <x:c r="F60" s="13" t="n">
        <x:f>MAX(C60:D60)</x:f>
        <x:v>2</x:v>
      </x:c>
      <x:c r="G60" s="3" t="str">
        <x:v>missing</x:v>
      </x:c>
      <x:c r="H60" s="13" t="n">
        <x:v>2</x:v>
      </x:c>
      <x:c r="I60" s="13" t="n">
        <x:v>2</x:v>
      </x:c>
      <x:c r="J60" s="3" t="str">
        <x:f>IF(H60=I60,"value","range")</x:f>
        <x:v>value</x:v>
      </x:c>
      <x:c r="K60" s="3" t="str">
        <x:v>medium</x:v>
      </x:c>
      <x:c r="L60" s="3" t="str">
        <x:v>supports_current_record</x:v>
      </x:c>
      <x:c r="M60" s="3" t="str">
        <x:v>Support the shared mixed 2 while keeping the integrated qualification gap explicit.</x:v>
      </x:c>
      <x:c r="N60" s="3" t="str">
        <x:v>fusion-src-038;fusion-src-028</x:v>
      </x:c>
      <x:c r="O60" s="3" t="str">
        <x:v>A specified blanket concept and development test scope, or an explicit analysis-only variant.</x:v>
      </x:c>
      <x:c r="P60" s="3" t="str">
        <x:v>false</x:v>
      </x:c>
      <x:c r="Q60" s="3" t="str">
        <x:v>false</x:v>
      </x:c>
      <x:c r="R60" s="3" t="str">
        <x:v>Blankets</x:v>
      </x:c>
      <x:c r="S60" s="3" t="str">
        <x:v>target_programme_status</x:v>
      </x:c>
      <x:c r="T60" s="3" t="str">
        <x:v>programme announcement</x:v>
      </x:c>
      <x:c r="U60" s="3" t="str">
        <x:v>Blanket development combines neutronics, thermal/structural analysis and physical module/testing work. Missing integrated validation does not make existing work purely informational.</x:v>
      </x:c>
      <x:c r="V60" s="3" t="str">
        <x:v>Future TBM testing supplies a relevant development architecture, not a qualified blanket or completed breeding outcome.</x:v>
      </x:c>
      <x:c r="W60" s="3" t="str">
        <x:v>not_applicable</x:v>
      </x:c>
      <x:c r="X60" s="3" t="str">
        <x:v>not_applicable</x:v>
      </x:c>
      <x:c r="Y60" s="3" t="str">
        <x:v>not_applicable</x:v>
      </x:c>
      <x:c r="Z60" s="3" t="str">
        <x:v>not_applicable</x:v>
      </x:c>
      <x:c r="AA60" s="3" t="str">
        <x:v>dr-sp-0025-s1-v1</x:v>
      </x:c>
    </x:row>
    <x:row r="61" ht="60" customHeight="1">
      <x:c r="A61" s="9" t="str">
        <x:v>sp-0025</x:v>
      </x:c>
      <x:c r="B61" s="9" t="str">
        <x:v>S2</x:v>
      </x:c>
      <x:c r="C61" s="12" t="n">
        <x:v>0</x:v>
      </x:c>
      <x:c r="D61" s="12" t="n">
        <x:v>1</x:v>
      </x:c>
      <x:c r="E61" s="12" t="n">
        <x:f>MIN(C61:D61)</x:f>
        <x:v>0</x:v>
      </x:c>
      <x:c r="F61" s="12" t="n">
        <x:f>MAX(C61:D61)</x:f>
        <x:v>1</x:v>
      </x:c>
      <x:c r="G61" s="9" t="str">
        <x:v>prefer_seed</x:v>
      </x:c>
      <x:c r="H61" s="12" t="n">
        <x:v>0</x:v>
      </x:c>
      <x:c r="I61" s="12" t="n">
        <x:v>1</x:v>
      </x:c>
      <x:c r="J61" s="9" t="str">
        <x:f>IF(H61=I61,"value","range")</x:f>
        <x:v>range</x:v>
      </x:c>
      <x:c r="K61" s="9" t="str">
        <x:v>low</x:v>
      </x:c>
      <x:c r="L61" s="9" t="str">
        <x:v>requires_human_expert</x:v>
      </x:c>
      <x:c r="M61" s="9" t="str">
        <x:v>Preserve owner 0 and recommend 0-1 pending a named specialist's definition of the decisive development test.</x:v>
      </x:c>
      <x:c r="N61" s="9" t="str">
        <x:v>fusion-src-038;fusion-src-028</x:v>
      </x:c>
      <x:c r="O61" s="9" t="str">
        <x:v>A concept-specific development plan identifying which integrated experiment closes each design revision.</x:v>
      </x:c>
      <x:c r="P61" s="9" t="str">
        <x:v>true</x:v>
      </x:c>
      <x:c r="Q61" s="9" t="str">
        <x:v>true</x:v>
      </x:c>
      <x:c r="R61" s="9" t="str">
        <x:v>Blankets</x:v>
      </x:c>
      <x:c r="S61" s="9" t="str">
        <x:v>target_programme_status</x:v>
      </x:c>
      <x:c r="T61" s="9" t="str">
        <x:v>programme announcement</x:v>
      </x:c>
      <x:c r="U61" s="9" t="str">
        <x:v>The owner selects 0 for integrated breeding-blanket validation. Yet the frozen development stage also contains repeatable subcomponent revision; future TBM testing does not empirically time the ordinary stage-wide loop.</x:v>
      </x:c>
      <x:c r="V61" s="9" t="str">
        <x:v>ITER tests mock-ups and requires further research for large-scale production/recycling; it is not a qualified power-plant blanket.</x:v>
      </x:c>
      <x:c r="W61" s="9" t="str">
        <x:v>not_applicable</x:v>
      </x:c>
      <x:c r="X61" s="9" t="str">
        <x:v>not_applicable</x:v>
      </x:c>
      <x:c r="Y61" s="9" t="str">
        <x:v>not_applicable</x:v>
      </x:c>
      <x:c r="Z61" s="9" t="str">
        <x:v>not_applicable</x:v>
      </x:c>
      <x:c r="AA61" s="9" t="str">
        <x:v>dr-sp-0025-s2-v1</x:v>
      </x:c>
    </x:row>
    <x:row r="62" ht="60" customHeight="1">
      <x:c r="A62" s="3" t="str">
        <x:v>sp-0025</x:v>
      </x:c>
      <x:c r="B62" s="3" t="str">
        <x:v>S3</x:v>
      </x:c>
      <x:c r="C62" s="13" t="n">
        <x:v>1</x:v>
      </x:c>
      <x:c r="D62" s="13" t="n">
        <x:v>1</x:v>
      </x:c>
      <x:c r="E62" s="13" t="n">
        <x:f>MIN(C62:D62)</x:f>
        <x:v>1</x:v>
      </x:c>
      <x:c r="F62" s="13" t="n">
        <x:f>MAX(C62:D62)</x:f>
        <x:v>1</x:v>
      </x:c>
      <x:c r="G62" s="3" t="str">
        <x:v>missing</x:v>
      </x:c>
      <x:c r="H62" s="13" t="n">
        <x:v>1</x:v>
      </x:c>
      <x:c r="I62" s="13" t="n">
        <x:v>1</x:v>
      </x:c>
      <x:c r="J62" s="3" t="str">
        <x:f>IF(H62=I62,"value","range")</x:f>
        <x:v>value</x:v>
      </x:c>
      <x:c r="K62" s="3" t="str">
        <x:v>low</x:v>
      </x:c>
      <x:c r="L62" s="3" t="str">
        <x:v>supports_current_record</x:v>
      </x:c>
      <x:c r="M62" s="3" t="str">
        <x:v>The shared low intermediate 1 preserves both repeatability and scarce decisive validation.</x:v>
      </x:c>
      <x:c r="N62" s="3" t="str">
        <x:v>fusion-src-038</x:v>
      </x:c>
      <x:c r="O62" s="3" t="str">
        <x:v>A concept-specific costed test programme with usable parallel integrated test capacity.</x:v>
      </x:c>
      <x:c r="P62" s="3" t="str">
        <x:v>false</x:v>
      </x:c>
      <x:c r="Q62" s="3" t="str">
        <x:v>false</x:v>
      </x:c>
      <x:c r="R62" s="3" t="str">
        <x:v>Blankets</x:v>
      </x:c>
      <x:c r="S62" s="3" t="str">
        <x:v>target_programme_status</x:v>
      </x:c>
      <x:c r="T62" s="3" t="str">
        <x:v>programme announcement</x:v>
      </x:c>
      <x:c r="U62" s="3" t="str">
        <x:v>Analytical and subcomponent attempts have lower marginal cost and can run in parallel. Integrated module tests are costly and bounded by representative ports, facilities and exposure opportunities.</x:v>
      </x:c>
      <x:c r="V62" s="3" t="str">
        <x:v>The four TBM concepts/two-port programme is planned capacity, not completed throughput or an observed cost ledger.</x:v>
      </x:c>
      <x:c r="W62" s="3" t="str">
        <x:v>not_applicable</x:v>
      </x:c>
      <x:c r="X62" s="3" t="str">
        <x:v>not_applicable</x:v>
      </x:c>
      <x:c r="Y62" s="3" t="str">
        <x:v>not_applicable</x:v>
      </x:c>
      <x:c r="Z62" s="3" t="str">
        <x:v>not_applicable</x:v>
      </x:c>
      <x:c r="AA62" s="3" t="str">
        <x:v>dr-sp-0025-s3-v1</x:v>
      </x:c>
    </x:row>
    <x:row r="63" ht="60" customHeight="1">
      <x:c r="A63" s="9" t="str">
        <x:v>sp-0025</x:v>
      </x:c>
      <x:c r="B63" s="9" t="str">
        <x:v>S4</x:v>
      </x:c>
      <x:c r="C63" s="12" t="n">
        <x:v>1</x:v>
      </x:c>
      <x:c r="D63" s="12" t="n">
        <x:v>1</x:v>
      </x:c>
      <x:c r="E63" s="12" t="n">
        <x:f>MIN(C63:D63)</x:f>
        <x:v>1</x:v>
      </x:c>
      <x:c r="F63" s="12" t="n">
        <x:f>MAX(C63:D63)</x:f>
        <x:v>1</x:v>
      </x:c>
      <x:c r="G63" s="9" t="str">
        <x:v>missing</x:v>
      </x:c>
      <x:c r="H63" s="12" t="n">
        <x:v>0</x:v>
      </x:c>
      <x:c r="I63" s="12" t="n">
        <x:v>1</x:v>
      </x:c>
      <x:c r="J63" s="9" t="str">
        <x:f>IF(H63=I63,"value","range")</x:f>
        <x:v>range</x:v>
      </x:c>
      <x:c r="K63" s="9" t="str">
        <x:v>low</x:v>
      </x:c>
      <x:c r="L63" s="9" t="str">
        <x:v>requires_pathway_variant</x:v>
      </x:c>
      <x:c r="M63" s="9" t="str">
        <x:v>0-1 should be scoped by blanket concept rather than inherited from one generic unavailable test environment.</x:v>
      </x:c>
      <x:c r="N63" s="9" t="str">
        <x:v>fusion-src-038;fusion-src-045</x:v>
      </x:c>
      <x:c r="O63" s="9" t="str">
        <x:v>An explicit blanket concept with physical exposure and conditioning requirements, including the limits of surrogate tests.</x:v>
      </x:c>
      <x:c r="P63" s="9" t="str">
        <x:v>false</x:v>
      </x:c>
      <x:c r="Q63" s="9" t="str">
        <x:v>true</x:v>
      </x:c>
      <x:c r="R63" s="9" t="str">
        <x:v>Blankets</x:v>
      </x:c>
      <x:c r="S63" s="9" t="str">
        <x:v>target_programme_status;adjacent_stage_analogy</x:v>
      </x:c>
      <x:c r="T63" s="9" t="str">
        <x:v>programme announcement; model or scenario estimate</x:v>
      </x:c>
      <x:c r="U63" s="9" t="str">
        <x:v>Prototype preparation, thermal/cyclic operation and irradiation create physical floors where required for concept validation. Lack of a facility and regulatory queues are not themselves elapsed physical processes.</x:v>
      </x:c>
      <x:c r="V63" s="9" t="str">
        <x:v>Materials irradiation is adjacent to blanket-system development; solid/liquid breeder and coolant/test routes need distinct representativeness arguments.</x:v>
      </x:c>
      <x:c r="W63" s="9" t="str">
        <x:v>not_applicable</x:v>
      </x:c>
      <x:c r="X63" s="9" t="str">
        <x:v>not_applicable</x:v>
      </x:c>
      <x:c r="Y63" s="9" t="str">
        <x:v>not_applicable</x:v>
      </x:c>
      <x:c r="Z63" s="9" t="str">
        <x:v>not_applicable</x:v>
      </x:c>
      <x:c r="AA63" s="9" t="str">
        <x:v>dr-sp-0025-s4-v1</x:v>
      </x:c>
    </x:row>
    <x:row r="64" ht="76" customHeight="1">
      <x:c r="A64" s="3" t="str">
        <x:v>sp-0025</x:v>
      </x:c>
      <x:c r="B64" s="3" t="str">
        <x:v>S5</x:v>
      </x:c>
      <x:c r="C64" s="13" t="n">
        <x:v>1</x:v>
      </x:c>
      <x:c r="D64" s="13" t="n">
        <x:v>0</x:v>
      </x:c>
      <x:c r="E64" s="13" t="n">
        <x:f>MIN(C64:D64)</x:f>
        <x:v>0</x:v>
      </x:c>
      <x:c r="F64" s="13" t="n">
        <x:f>MAX(C64:D64)</x:f>
        <x:v>1</x:v>
      </x:c>
      <x:c r="G64" s="3" t="str">
        <x:v>prefer_seed</x:v>
      </x:c>
      <x:c r="H64" s="13" t="n">
        <x:v>1</x:v>
      </x:c>
      <x:c r="I64" s="13" t="n">
        <x:v>1</x:v>
      </x:c>
      <x:c r="J64" s="3" t="str">
        <x:f>IF(H64=I64,"value","range")</x:f>
        <x:v>value</x:v>
      </x:c>
      <x:c r="K64" s="3" t="str">
        <x:v>low</x:v>
      </x:c>
      <x:c r="L64" s="3" t="str">
        <x:v>requires_human_expert</x:v>
      </x:c>
      <x:c r="M64" s="3" t="str">
        <x:v>Support owner 1 as a provisional recommendation with a specialist gate, not automatic worst-case 0.</x:v>
      </x:c>
      <x:c r="N64" s="3" t="str">
        <x:v>fusion-src-038;fusion-src-028</x:v>
      </x:c>
      <x:c r="O64" s="3" t="str">
        <x:v>Concept-specific development hazard analysis and independent test/acceptance boundaries.</x:v>
      </x:c>
      <x:c r="P64" s="3" t="str">
        <x:v>true</x:v>
      </x:c>
      <x:c r="Q64" s="3" t="str">
        <x:v>true</x:v>
      </x:c>
      <x:c r="R64" s="3" t="str">
        <x:v>Blankets</x:v>
      </x:c>
      <x:c r="S64" s="3" t="str">
        <x:v>target_programme_status</x:v>
      </x:c>
      <x:c r="T64" s="3" t="str">
        <x:v>programme announcement</x:v>
      </x:c>
      <x:c r="U64" s="3" t="str">
        <x:v>Erroneous blanket testing can damage a scarce article or produce local chemical/radiological consequences before independent test protection. Correctly observed test failure is information; later operating heat-removal or fuel-cycle failures require separate assurance allocation.</x:v>
      </x:c>
      <x:c r="V64" s="3" t="str">
        <x:v>Future TBM plans do not establish a concept-specific hazard envelope or independent acceptance boundary.</x:v>
      </x:c>
      <x:c r="W64" s="3" t="str">
        <x:v>Test-article damage, invalid breeding/thermal evidence and local material-release consequences before independent protection.</x:v>
      </x:c>
      <x:c r="X64" s="3" t="str">
        <x:v>Independent test-module isolation/protection and subsequent blanket integration acceptance.</x:v>
      </x:c>
      <x:c r="Y64" s="3" t="str">
        <x:v>Later plant heat-removal or fuel-cycle cascades requiring additional independent integration or operating failures.</x:v>
      </x:c>
      <x:c r="Z64" s="3" t="str">
        <x:v>assumed_not_verified</x:v>
      </x:c>
      <x:c r="AA64" s="3" t="str">
        <x:v>dr-sp-0025-s5-v1</x:v>
      </x:c>
    </x:row>
    <x:row r="65" ht="60" customHeight="1">
      <x:c r="A65" s="9" t="str">
        <x:v>sp-0026</x:v>
      </x:c>
      <x:c r="B65" s="9" t="str">
        <x:v>S1</x:v>
      </x:c>
      <x:c r="C65" s="12" t="n">
        <x:v>1</x:v>
      </x:c>
      <x:c r="D65" s="12" t="n">
        <x:v>0</x:v>
      </x:c>
      <x:c r="E65" s="12" t="n">
        <x:f>MIN(C65:D65)</x:f>
        <x:v>0</x:v>
      </x:c>
      <x:c r="F65" s="12" t="n">
        <x:f>MAX(C65:D65)</x:f>
        <x:v>1</x:v>
      </x:c>
      <x:c r="G65" s="9" t="str">
        <x:v>missing</x:v>
      </x:c>
      <x:c r="H65" s="12" t="n">
        <x:v>0</x:v>
      </x:c>
      <x:c r="I65" s="12" t="n">
        <x:v>0</x:v>
      </x:c>
      <x:c r="J65" s="9" t="str">
        <x:f>IF(H65=I65,"value","range")</x:f>
        <x:v>value</x:v>
      </x:c>
      <x:c r="K65" s="9" t="str">
        <x:v>medium</x:v>
      </x:c>
      <x:c r="L65" s="9" t="str">
        <x:v>recommends_value_change</x:v>
      </x:c>
      <x:c r="M65" s="9" t="str">
        <x:v>Prefer independent 0 over seed 1 under the rubric's primarily physical definition.</x:v>
      </x:c>
      <x:c r="N65" s="9" t="str">
        <x:v>fusion-src-014;fusion-src-037</x:v>
      </x:c>
      <x:c r="O65" s="9" t="str">
        <x:v>Revisit if the frozen scope changes from fabrication to process design or an evidence-backed route changes how production occurs.</x:v>
      </x:c>
      <x:c r="P65" s="9" t="str">
        <x:v>false</x:v>
      </x:c>
      <x:c r="Q65" s="9" t="str">
        <x:v>true</x:v>
      </x:c>
      <x:c r="R65" s="9" t="str">
        <x:v>Component fabrication</x:v>
      </x:c>
      <x:c r="S65" s="9" t="str">
        <x:v>exact_stage;adjacent_stage_analogy</x:v>
      </x:c>
      <x:c r="T65" s="9" t="str">
        <x:v>proof of concept; observed facility milestone</x:v>
      </x:c>
      <x:c r="U65" s="9" t="str">
        <x:v>Fabrication after design maturity advances through physical production, joining and inspection. Metrology and process instructions support that work; their existence does not invalidate the primarily-physical 0 anchor.</x:v>
      </x:c>
      <x:c r="V65" s="9" t="str">
        <x:v>HH70 magnet manufacture is a bounded research-device example; ITER assembly is adjacent confirmation of physical components, not a pilot factory performance dataset.</x:v>
      </x:c>
      <x:c r="W65" s="9" t="str">
        <x:v>not_applicable</x:v>
      </x:c>
      <x:c r="X65" s="9" t="str">
        <x:v>not_applicable</x:v>
      </x:c>
      <x:c r="Y65" s="9" t="str">
        <x:v>not_applicable</x:v>
      </x:c>
      <x:c r="Z65" s="9" t="str">
        <x:v>not_applicable</x:v>
      </x:c>
      <x:c r="AA65" s="9" t="str">
        <x:v>dr-sp-0026-s1-v1</x:v>
      </x:c>
    </x:row>
    <x:row r="66" ht="60" customHeight="1">
      <x:c r="A66" s="3" t="str">
        <x:v>sp-0026</x:v>
      </x:c>
      <x:c r="B66" s="3" t="str">
        <x:v>S2</x:v>
      </x:c>
      <x:c r="C66" s="13" t="n">
        <x:v>1</x:v>
      </x:c>
      <x:c r="D66" s="13" t="n">
        <x:v>1</x:v>
      </x:c>
      <x:c r="E66" s="13" t="n">
        <x:f>MIN(C66:D66)</x:f>
        <x:v>1</x:v>
      </x:c>
      <x:c r="F66" s="13" t="n">
        <x:f>MAX(C66:D66)</x:f>
        <x:v>1</x:v>
      </x:c>
      <x:c r="G66" s="3" t="str">
        <x:v>missing</x:v>
      </x:c>
      <x:c r="H66" s="13" t="n">
        <x:v>1</x:v>
      </x:c>
      <x:c r="I66" s="13" t="n">
        <x:v>1</x:v>
      </x:c>
      <x:c r="J66" s="3" t="str">
        <x:f>IF(H66=I66,"value","range")</x:f>
        <x:v>value</x:v>
      </x:c>
      <x:c r="K66" s="3" t="str">
        <x:v>low</x:v>
      </x:c>
      <x:c r="L66" s="3" t="str">
        <x:v>supports_current_record</x:v>
      </x:c>
      <x:c r="M66" s="3" t="str">
        <x:v>Keep the shared intermediate 1 as a structural candidate, not a measured duration.</x:v>
      </x:c>
      <x:c r="N66" s="3" t="str">
        <x:v>fusion-src-014</x:v>
      </x:c>
      <x:c r="O66" s="3" t="str">
        <x:v>A fabrication traveller/rework log with attempt, inspection and revision dates for a representative component.</x:v>
      </x:c>
      <x:c r="P66" s="3" t="str">
        <x:v>false</x:v>
      </x:c>
      <x:c r="Q66" s="3" t="str">
        <x:v>false</x:v>
      </x:c>
      <x:c r="R66" s="3" t="str">
        <x:v>Component fabrication</x:v>
      </x:c>
      <x:c r="S66" s="3" t="str">
        <x:v>exact_stage</x:v>
      </x:c>
      <x:c r="T66" s="3" t="str">
        <x:v>proof of concept</x:v>
      </x:c>
      <x:c r="U66" s="3" t="str">
        <x:v>The decisive loop includes completing and checking a representative component and revising the production process. A completion milestone alone does not time that learn-test-revise cycle.</x:v>
      </x:c>
      <x:c r="V66" s="3" t="str">
        <x:v>Research magnet manufacture cannot establish a universal pilot component cycle; exact month/year claims in the submissions remain unverified.</x:v>
      </x:c>
      <x:c r="W66" s="3" t="str">
        <x:v>not_applicable</x:v>
      </x:c>
      <x:c r="X66" s="3" t="str">
        <x:v>not_applicable</x:v>
      </x:c>
      <x:c r="Y66" s="3" t="str">
        <x:v>not_applicable</x:v>
      </x:c>
      <x:c r="Z66" s="3" t="str">
        <x:v>not_applicable</x:v>
      </x:c>
      <x:c r="AA66" s="3" t="str">
        <x:v>dr-sp-0026-s2-v1</x:v>
      </x:c>
    </x:row>
    <x:row r="67" ht="60" customHeight="1">
      <x:c r="A67" s="9" t="str">
        <x:v>sp-0026</x:v>
      </x:c>
      <x:c r="B67" s="9" t="str">
        <x:v>S3</x:v>
      </x:c>
      <x:c r="C67" s="12" t="n">
        <x:v>1</x:v>
      </x:c>
      <x:c r="D67" s="12" t="n">
        <x:v>0</x:v>
      </x:c>
      <x:c r="E67" s="12" t="n">
        <x:f>MIN(C67:D67)</x:f>
        <x:v>0</x:v>
      </x:c>
      <x:c r="F67" s="12" t="n">
        <x:f>MAX(C67:D67)</x:f>
        <x:v>1</x:v>
      </x:c>
      <x:c r="G67" s="9" t="str">
        <x:v>missing</x:v>
      </x:c>
      <x:c r="H67" s="12" t="n">
        <x:v>0</x:v>
      </x:c>
      <x:c r="I67" s="12" t="n">
        <x:v>1</x:v>
      </x:c>
      <x:c r="J67" s="9" t="str">
        <x:f>IF(H67=I67,"value","range")</x:f>
        <x:v>range</x:v>
      </x:c>
      <x:c r="K67" s="9" t="str">
        <x:v>low</x:v>
      </x:c>
      <x:c r="L67" s="9" t="str">
        <x:v>recommends_range</x:v>
      </x:c>
      <x:c r="M67" s="9" t="str">
        <x:v>Preserve 0-1 and reject both invented currency amounts and a claim of no possible repetition.</x:v>
      </x:c>
      <x:c r="N67" s="9" t="str">
        <x:v>fusion-src-014;fusion-src-037</x:v>
      </x:c>
      <x:c r="O67" s="9" t="str">
        <x:v>Cost and capacity records separating coupon, subassembly and full-component production attempts.</x:v>
      </x:c>
      <x:c r="P67" s="9" t="str">
        <x:v>false</x:v>
      </x:c>
      <x:c r="Q67" s="9" t="str">
        <x:v>false</x:v>
      </x:c>
      <x:c r="R67" s="9" t="str">
        <x:v>Component fabrication</x:v>
      </x:c>
      <x:c r="S67" s="9" t="str">
        <x:v>exact_stage;adjacent_stage_analogy</x:v>
      </x:c>
      <x:c r="T67" s="9" t="str">
        <x:v>proof of concept; observed facility milestone</x:v>
      </x:c>
      <x:c r="U67" s="9" t="str">
        <x:v>Full-component attempts consume substantial material and specialist production capacity. Coupons and subassemblies cost less and can proceed in parallel, while repeat components permit some serial learning.</x:v>
      </x:c>
      <x:c r="V67" s="9" t="str">
        <x:v>The source set lacks a unit-cost/attainable-throughput ledger; counts of assembled sectors are not evidence of free repeated full-component attempts.</x:v>
      </x:c>
      <x:c r="W67" s="9" t="str">
        <x:v>not_applicable</x:v>
      </x:c>
      <x:c r="X67" s="9" t="str">
        <x:v>not_applicable</x:v>
      </x:c>
      <x:c r="Y67" s="9" t="str">
        <x:v>not_applicable</x:v>
      </x:c>
      <x:c r="Z67" s="9" t="str">
        <x:v>not_applicable</x:v>
      </x:c>
      <x:c r="AA67" s="9" t="str">
        <x:v>dr-sp-0026-s3-v1</x:v>
      </x:c>
    </x:row>
    <x:row r="68" ht="60" customHeight="1">
      <x:c r="A68" s="3" t="str">
        <x:v>sp-0026</x:v>
      </x:c>
      <x:c r="B68" s="3" t="str">
        <x:v>S4</x:v>
      </x:c>
      <x:c r="C68" s="13" t="n">
        <x:v>0</x:v>
      </x:c>
      <x:c r="D68" s="13" t="n">
        <x:v>0</x:v>
      </x:c>
      <x:c r="E68" s="13" t="n">
        <x:f>MIN(C68:D68)</x:f>
        <x:v>0</x:v>
      </x:c>
      <x:c r="F68" s="13" t="n">
        <x:f>MAX(C68:D68)</x:f>
        <x:v>0</x:v>
      </x:c>
      <x:c r="G68" s="3" t="str">
        <x:v>missing</x:v>
      </x:c>
      <x:c r="H68" s="13" t="n">
        <x:v>0</x:v>
      </x:c>
      <x:c r="I68" s="13" t="n">
        <x:v>0</x:v>
      </x:c>
      <x:c r="J68" s="3" t="str">
        <x:f>IF(H68=I68,"value","range")</x:f>
        <x:v>value</x:v>
      </x:c>
      <x:c r="K68" s="3" t="str">
        <x:v>medium</x:v>
      </x:c>
      <x:c r="L68" s="3" t="str">
        <x:v>supports_current_record</x:v>
      </x:c>
      <x:c r="M68" s="3" t="str">
        <x:v>The shared 0 is a stage-structure judgment; AI may improve process work without eliminating material operations.</x:v>
      </x:c>
      <x:c r="N68" s="3" t="str">
        <x:v>fusion-src-014</x:v>
      </x:c>
      <x:c r="O68" s="3" t="str">
        <x:v>A validated production-process change that removes a dominant physical step rather than only reducing queueing.</x:v>
      </x:c>
      <x:c r="P68" s="3" t="str">
        <x:v>false</x:v>
      </x:c>
      <x:c r="Q68" s="3" t="str">
        <x:v>false</x:v>
      </x:c>
      <x:c r="R68" s="3" t="str">
        <x:v>Component fabrication</x:v>
      </x:c>
      <x:c r="S68" s="3" t="str">
        <x:v>exact_stage</x:v>
      </x:c>
      <x:c r="T68" s="3" t="str">
        <x:v>proof of concept</x:v>
      </x:c>
      <x:c r="U68" s="3" t="str">
        <x:v>Physical manufacture, joining and required inspection dominate this post-design stage. Off-site fabrication belongs here; later site assembly and institutional procurement waits do not justify the value.</x:v>
      </x:c>
      <x:c r="V68" s="3" t="str">
        <x:v>The magnet engineering example supports an intrinsic fabrication sequence, not a universal duration or claims that all process times are immutable.</x:v>
      </x:c>
      <x:c r="W68" s="3" t="str">
        <x:v>not_applicable</x:v>
      </x:c>
      <x:c r="X68" s="3" t="str">
        <x:v>not_applicable</x:v>
      </x:c>
      <x:c r="Y68" s="3" t="str">
        <x:v>not_applicable</x:v>
      </x:c>
      <x:c r="Z68" s="3" t="str">
        <x:v>not_applicable</x:v>
      </x:c>
      <x:c r="AA68" s="3" t="str">
        <x:v>dr-sp-0026-s4-v1</x:v>
      </x:c>
    </x:row>
    <x:row r="69" ht="60" customHeight="1">
      <x:c r="A69" s="9" t="str">
        <x:v>sp-0026</x:v>
      </x:c>
      <x:c r="B69" s="9" t="str">
        <x:v>S5</x:v>
      </x:c>
      <x:c r="C69" s="12" t="n">
        <x:v>1</x:v>
      </x:c>
      <x:c r="D69" s="12" t="n">
        <x:v>1</x:v>
      </x:c>
      <x:c r="E69" s="12" t="n">
        <x:f>MIN(C69:D69)</x:f>
        <x:v>1</x:v>
      </x:c>
      <x:c r="F69" s="12" t="n">
        <x:f>MAX(C69:D69)</x:f>
        <x:v>1</x:v>
      </x:c>
      <x:c r="G69" s="9" t="str">
        <x:v>missing</x:v>
      </x:c>
      <x:c r="H69" s="12" t="n">
        <x:v>1</x:v>
      </x:c>
      <x:c r="I69" s="12" t="n">
        <x:v>1</x:v>
      </x:c>
      <x:c r="J69" s="9" t="str">
        <x:f>IF(H69=I69,"value","range")</x:f>
        <x:v>value</x:v>
      </x:c>
      <x:c r="K69" s="9" t="str">
        <x:v>low</x:v>
      </x:c>
      <x:c r="L69" s="9" t="str">
        <x:v>supports_current_record</x:v>
      </x:c>
      <x:c r="M69" s="9" t="str">
        <x:v>Keep 1 for expensive and only partly recoverable fabrication loss, conditionally on the receiving inspection boundary.</x:v>
      </x:c>
      <x:c r="N69" s="9" t="str">
        <x:v>fusion-src-014</x:v>
      </x:c>
      <x:c r="O69" s="9" t="str">
        <x:v>A component-specific nonconformance/repair record and independent acceptance plan.</x:v>
      </x:c>
      <x:c r="P69" s="9" t="str">
        <x:v>false</x:v>
      </x:c>
      <x:c r="Q69" s="9" t="str">
        <x:v>false</x:v>
      </x:c>
      <x:c r="R69" s="9" t="str">
        <x:v>Component fabrication</x:v>
      </x:c>
      <x:c r="S69" s="9" t="str">
        <x:v>exact_stage</x:v>
      </x:c>
      <x:c r="T69" s="9" t="str">
        <x:v>proof of concept</x:v>
      </x:c>
      <x:c r="U69" s="9" t="str">
        <x:v>Fabrication errors can scrap a scarce part or require difficult rework before independent receiving inspection. Latent defects are bounded at acceptance rather than charged through all future plant operation.</x:v>
      </x:c>
      <x:c r="V69" s="9" t="str">
        <x:v>Manufacturing descriptions do not establish defect probabilities or verified independence of inspection.</x:v>
      </x:c>
      <x:c r="W69" s="9" t="str">
        <x:v>Scrap, rework and concealed fabrication defects up to independent receiving inspection.</x:v>
      </x:c>
      <x:c r="X69" s="9" t="str">
        <x:v>Independent receiving inspection and release to site assembly.</x:v>
      </x:c>
      <x:c r="Y69" s="9" t="str">
        <x:v>Plant operating harm after separate receiving, assembly, commissioning or operational protection failures.</x:v>
      </x:c>
      <x:c r="Z69" s="9" t="str">
        <x:v>assumed_not_verified</x:v>
      </x:c>
      <x:c r="AA69" s="9" t="str">
        <x:v>dr-sp-0026-s5-v1</x:v>
      </x:c>
    </x:row>
    <x:row r="70" ht="44" customHeight="1">
      <x:c r="A70" s="3" t="str">
        <x:v>sp-0027</x:v>
      </x:c>
      <x:c r="B70" s="3" t="str">
        <x:v>S1</x:v>
      </x:c>
      <x:c r="C70" s="13" t="n">
        <x:v>0</x:v>
      </x:c>
      <x:c r="D70" s="13" t="n">
        <x:v>0</x:v>
      </x:c>
      <x:c r="E70" s="13" t="n">
        <x:f>MIN(C70:D70)</x:f>
        <x:v>0</x:v>
      </x:c>
      <x:c r="F70" s="13" t="n">
        <x:f>MAX(C70:D70)</x:f>
        <x:v>0</x:v>
      </x:c>
      <x:c r="G70" s="3" t="str">
        <x:v>missing</x:v>
      </x:c>
      <x:c r="H70" s="13" t="n">
        <x:v>0</x:v>
      </x:c>
      <x:c r="I70" s="13" t="n">
        <x:v>0</x:v>
      </x:c>
      <x:c r="J70" s="3" t="str">
        <x:f>IF(H70=I70,"value","range")</x:f>
        <x:v>value</x:v>
      </x:c>
      <x:c r="K70" s="3" t="str">
        <x:v>high</x:v>
      </x:c>
      <x:c r="L70" s="3" t="str">
        <x:v>supports_current_record</x:v>
      </x:c>
      <x:c r="M70" s="3" t="str">
        <x:v>Both 0s match the frozen construction scope.</x:v>
      </x:c>
      <x:c r="N70" s="3" t="str">
        <x:v>fusion-src-037;fusion-src-036</x:v>
      </x:c>
      <x:c r="O70" s="3" t="str">
        <x:v>Revisit only if construction scope or technical execution changes materially.</x:v>
      </x:c>
      <x:c r="P70" s="3" t="str">
        <x:v>false</x:v>
      </x:c>
      <x:c r="Q70" s="3" t="str">
        <x:v>false</x:v>
      </x:c>
      <x:c r="R70" s="3" t="str">
        <x:v>Construction</x:v>
      </x:c>
      <x:c r="S70" s="3" t="str">
        <x:v>exact_stage;target_programme_status</x:v>
      </x:c>
      <x:c r="T70" s="3" t="str">
        <x:v>observed facility milestone; official target</x:v>
      </x:c>
      <x:c r="U70" s="3" t="str">
        <x:v>Site work, assembly and installation are primarily physical progress. Digital metrology and planning assist construction without changing the nature of the scoped output.</x:v>
      </x:c>
      <x:c r="V70" s="3" t="str">
        <x:v>ITER's sector-module placement is exact construction evidence; the proposed full baseline is not a completed plant.</x:v>
      </x:c>
      <x:c r="W70" s="3" t="str">
        <x:v>not_applicable</x:v>
      </x:c>
      <x:c r="X70" s="3" t="str">
        <x:v>not_applicable</x:v>
      </x:c>
      <x:c r="Y70" s="3" t="str">
        <x:v>not_applicable</x:v>
      </x:c>
      <x:c r="Z70" s="3" t="str">
        <x:v>not_applicable</x:v>
      </x:c>
      <x:c r="AA70" s="3" t="str">
        <x:v>dr-sp-0027-s1-v1</x:v>
      </x:c>
    </x:row>
    <x:row r="71" ht="108" customHeight="1">
      <x:c r="A71" s="9" t="str">
        <x:v>sp-0027</x:v>
      </x:c>
      <x:c r="B71" s="9" t="str">
        <x:v>S2</x:v>
      </x:c>
      <x:c r="C71" s="12" t="n">
        <x:v>0</x:v>
      </x:c>
      <x:c r="D71" s="12" t="n">
        <x:v>0</x:v>
      </x:c>
      <x:c r="E71" s="12" t="n">
        <x:f>MIN(C71:D71)</x:f>
        <x:v>0</x:v>
      </x:c>
      <x:c r="F71" s="12" t="n">
        <x:f>MAX(C71:D71)</x:f>
        <x:v>0</x:v>
      </x:c>
      <x:c r="G71" s="9" t="str">
        <x:v>missing</x:v>
      </x:c>
      <x:c r="H71" s="12" t="n">
        <x:v>1</x:v>
      </x:c>
      <x:c r="I71" s="12" t="n">
        <x:v>1</x:v>
      </x:c>
      <x:c r="J71" s="9" t="str">
        <x:f>IF(H71=I71,"value","range")</x:f>
        <x:v>value</x:v>
      </x:c>
      <x:c r="K71" s="9" t="str">
        <x:v>medium</x:v>
      </x:c>
      <x:c r="L71" s="9" t="str">
        <x:v>recommends_value_change</x:v>
      </x:c>
      <x:c r="M71" s="9" t="str">
        <x:v>Recommend 1 over both preserved coder values at 0 because the repeated work-package loop, rather than total facility duration, is the V1 S2 unit.</x:v>
      </x:c>
      <x:c r="N71" s="9" t="str">
        <x:v>fusion-src-037;fusion-src-036</x:v>
      </x:c>
      <x:c r="O71" s="9" t="str">
        <x:v>Revisit if a different construction learning unit is frozen, or if reviewed work-package/module cycle data support a materially different ordinary loop.</x:v>
      </x:c>
      <x:c r="P71" s="9" t="str">
        <x:v>false</x:v>
      </x:c>
      <x:c r="Q71" s="9" t="str">
        <x:v>true</x:v>
      </x:c>
      <x:c r="R71" s="9" t="str">
        <x:v>Construction</x:v>
      </x:c>
      <x:c r="S71" s="9" t="str">
        <x:v>exact_stage;target_programme_status</x:v>
      </x:c>
      <x:c r="T71" s="9" t="str">
        <x:v>observed facility milestone; official target</x:v>
      </x:c>
      <x:c r="U71" s="9" t="str">
        <x:v>S2 measures the ordinary learn-test-revise cycle inside the frozen stage, not the total duration of constructing the whole facility. For V1, use a repeatable major assembly/work-package loop: assemble, fit, inspect, diagnose deviations, revise procedures or tooling, and apply lessons to the next comparable package. That loop is months to roughly a year-plus, supporting the intermediate months-to-years value 1 rather than a range spanning years or decades through weeks or months.</x:v>
      </x:c>
      <x:c r="V71" s="9" t="str">
        <x:v>The retained canonical records show the construction sequence but do not calibrate an ordinary work-package cycle. PM external cross-checking of official ITER cycle records supports the months-scale judgment; those records are not canonical here and are not added to source IDs.</x:v>
      </x:c>
      <x:c r="W71" s="9" t="str">
        <x:v>not_applicable</x:v>
      </x:c>
      <x:c r="X71" s="9" t="str">
        <x:v>not_applicable</x:v>
      </x:c>
      <x:c r="Y71" s="9" t="str">
        <x:v>not_applicable</x:v>
      </x:c>
      <x:c r="Z71" s="9" t="str">
        <x:v>not_applicable</x:v>
      </x:c>
      <x:c r="AA71" s="9" t="str">
        <x:v>dr-sp-0027-s2-v1</x:v>
      </x:c>
    </x:row>
    <x:row r="72" ht="60" customHeight="1">
      <x:c r="A72" s="3" t="str">
        <x:v>sp-0027</x:v>
      </x:c>
      <x:c r="B72" s="3" t="str">
        <x:v>S3</x:v>
      </x:c>
      <x:c r="C72" s="13" t="n">
        <x:v>0</x:v>
      </x:c>
      <x:c r="D72" s="13" t="n">
        <x:v>0</x:v>
      </x:c>
      <x:c r="E72" s="13" t="n">
        <x:f>MIN(C72:D72)</x:f>
        <x:v>0</x:v>
      </x:c>
      <x:c r="F72" s="13" t="n">
        <x:f>MAX(C72:D72)</x:f>
        <x:v>0</x:v>
      </x:c>
      <x:c r="G72" s="3" t="str">
        <x:v>missing</x:v>
      </x:c>
      <x:c r="H72" s="13" t="n">
        <x:v>0</x:v>
      </x:c>
      <x:c r="I72" s="13" t="n">
        <x:v>0</x:v>
      </x:c>
      <x:c r="J72" s="3" t="str">
        <x:f>IF(H72=I72,"value","range")</x:f>
        <x:v>value</x:v>
      </x:c>
      <x:c r="K72" s="3" t="str">
        <x:v>medium</x:v>
      </x:c>
      <x:c r="L72" s="3" t="str">
        <x:v>supports_current_record</x:v>
      </x:c>
      <x:c r="M72" s="3" t="str">
        <x:v>Retain 0 for scarce major integrated attempts with a corrected, nonzero account of local throughput.</x:v>
      </x:c>
      <x:c r="N72" s="3" t="str">
        <x:v>fusion-src-037</x:v>
      </x:c>
      <x:c r="O72" s="3" t="str">
        <x:v>A construction attempt taxonomy and cost/concurrency record that changes the relevant unit of learning.</x:v>
      </x:c>
      <x:c r="P72" s="3" t="str">
        <x:v>false</x:v>
      </x:c>
      <x:c r="Q72" s="3" t="str">
        <x:v>false</x:v>
      </x:c>
      <x:c r="R72" s="3" t="str">
        <x:v>Construction</x:v>
      </x:c>
      <x:c r="S72" s="3" t="str">
        <x:v>exact_stage</x:v>
      </x:c>
      <x:c r="T72" s="3" t="str">
        <x:v>observed facility milestone</x:v>
      </x:c>
      <x:c r="U72" s="3" t="str">
        <x:v>Major integrated construction attempts are expensive and constrained by one site and assembly dependencies. Subassemblies, surveying and separate work packages can run in parallel; the seed claim of absent parallelism is too absolute.</x:v>
      </x:c>
      <x:c r="V72" s="3" t="str">
        <x:v>Repeated module installation illustrates partial repetition, without establishing cheap independent whole-facility attempts.</x:v>
      </x:c>
      <x:c r="W72" s="3" t="str">
        <x:v>not_applicable</x:v>
      </x:c>
      <x:c r="X72" s="3" t="str">
        <x:v>not_applicable</x:v>
      </x:c>
      <x:c r="Y72" s="3" t="str">
        <x:v>not_applicable</x:v>
      </x:c>
      <x:c r="Z72" s="3" t="str">
        <x:v>not_applicable</x:v>
      </x:c>
      <x:c r="AA72" s="3" t="str">
        <x:v>dr-sp-0027-s3-v1</x:v>
      </x:c>
    </x:row>
    <x:row r="73" ht="60" customHeight="1">
      <x:c r="A73" s="9" t="str">
        <x:v>sp-0027</x:v>
      </x:c>
      <x:c r="B73" s="9" t="str">
        <x:v>S4</x:v>
      </x:c>
      <x:c r="C73" s="12" t="n">
        <x:v>0</x:v>
      </x:c>
      <x:c r="D73" s="12" t="n">
        <x:v>0</x:v>
      </x:c>
      <x:c r="E73" s="12" t="n">
        <x:f>MIN(C73:D73)</x:f>
        <x:v>0</x:v>
      </x:c>
      <x:c r="F73" s="12" t="n">
        <x:f>MAX(C73:D73)</x:f>
        <x:v>0</x:v>
      </x:c>
      <x:c r="G73" s="9" t="str">
        <x:v>missing</x:v>
      </x:c>
      <x:c r="H73" s="12" t="n">
        <x:v>0</x:v>
      </x:c>
      <x:c r="I73" s="12" t="n">
        <x:v>0</x:v>
      </x:c>
      <x:c r="J73" s="9" t="str">
        <x:f>IF(H73=I73,"value","range")</x:f>
        <x:v>value</x:v>
      </x:c>
      <x:c r="K73" s="9" t="str">
        <x:v>high</x:v>
      </x:c>
      <x:c r="L73" s="9" t="str">
        <x:v>supports_current_record</x:v>
      </x:c>
      <x:c r="M73" s="9" t="str">
        <x:v>Support 0 without treating the official baseline as an irreducible calendar duration.</x:v>
      </x:c>
      <x:c r="N73" s="9" t="str">
        <x:v>fusion-src-037;fusion-src-036</x:v>
      </x:c>
      <x:c r="O73" s="9" t="str">
        <x:v>A validated assembly method eliminating a dominant physical sequence under equivalent acceptance requirements.</x:v>
      </x:c>
      <x:c r="P73" s="9" t="str">
        <x:v>false</x:v>
      </x:c>
      <x:c r="Q73" s="9" t="str">
        <x:v>false</x:v>
      </x:c>
      <x:c r="R73" s="9" t="str">
        <x:v>Construction</x:v>
      </x:c>
      <x:c r="S73" s="9" t="str">
        <x:v>exact_stage;target_programme_status</x:v>
      </x:c>
      <x:c r="T73" s="9" t="str">
        <x:v>observed facility milestone; official target</x:v>
      </x:c>
      <x:c r="U73" s="9" t="str">
        <x:v>Lifting, fit-up, sequential installation and verification are physical construction steps. Their required execution, not generic permitting or procurement queues, supports the time-floor judgment.</x:v>
      </x:c>
      <x:c r="V73" s="9" t="str">
        <x:v>The installed-sector milestone supports actual assembly; proposed future dates do not quantify a fixed universal physical minimum.</x:v>
      </x:c>
      <x:c r="W73" s="9" t="str">
        <x:v>not_applicable</x:v>
      </x:c>
      <x:c r="X73" s="9" t="str">
        <x:v>not_applicable</x:v>
      </x:c>
      <x:c r="Y73" s="9" t="str">
        <x:v>not_applicable</x:v>
      </x:c>
      <x:c r="Z73" s="9" t="str">
        <x:v>not_applicable</x:v>
      </x:c>
      <x:c r="AA73" s="9" t="str">
        <x:v>dr-sp-0027-s4-v1</x:v>
      </x:c>
    </x:row>
    <x:row r="74" ht="60" customHeight="1">
      <x:c r="A74" s="3" t="str">
        <x:v>sp-0027</x:v>
      </x:c>
      <x:c r="B74" s="3" t="str">
        <x:v>S5</x:v>
      </x:c>
      <x:c r="C74" s="13" t="n">
        <x:v>1</x:v>
      </x:c>
      <x:c r="D74" s="13" t="n">
        <x:v>1</x:v>
      </x:c>
      <x:c r="E74" s="13" t="n">
        <x:f>MIN(C74:D74)</x:f>
        <x:v>1</x:v>
      </x:c>
      <x:c r="F74" s="13" t="n">
        <x:f>MAX(C74:D74)</x:f>
        <x:v>1</x:v>
      </x:c>
      <x:c r="G74" s="3" t="str">
        <x:v>missing</x:v>
      </x:c>
      <x:c r="H74" s="13" t="n">
        <x:v>1</x:v>
      </x:c>
      <x:c r="I74" s="13" t="n">
        <x:v>1</x:v>
      </x:c>
      <x:c r="J74" s="3" t="str">
        <x:f>IF(H74=I74,"value","range")</x:f>
        <x:v>value</x:v>
      </x:c>
      <x:c r="K74" s="3" t="str">
        <x:v>medium</x:v>
      </x:c>
      <x:c r="L74" s="3" t="str">
        <x:v>supports_current_record</x:v>
      </x:c>
      <x:c r="M74" s="3" t="str">
        <x:v>Low intermediate tolerance is defensible, bounded at the independent construction controls.</x:v>
      </x:c>
      <x:c r="N74" s="3" t="str">
        <x:v>fusion-src-037</x:v>
      </x:c>
      <x:c r="O74" s="3" t="str">
        <x:v>A stage-specific construction hazard analysis identifying independent lift/assembly acceptance controls.</x:v>
      </x:c>
      <x:c r="P74" s="3" t="str">
        <x:v>false</x:v>
      </x:c>
      <x:c r="Q74" s="3" t="str">
        <x:v>false</x:v>
      </x:c>
      <x:c r="R74" s="3" t="str">
        <x:v>Construction</x:v>
      </x:c>
      <x:c r="S74" s="3" t="str">
        <x:v>exact_stage</x:v>
      </x:c>
      <x:c r="T74" s="3" t="str">
        <x:v>observed facility milestone</x:v>
      </x:c>
      <x:c r="U74" s="3" t="str">
        <x:v>An erroneous lift, fit-up or installation can directly damage the article or injure workers before independent lift protection/inspection. Other nonconformances are repairable; not every construction mistake is catastrophic.</x:v>
      </x:c>
      <x:c r="V74" s="3" t="str">
        <x:v>The successful ITER lift is not an error-rate or safety study. It illustrates the operation receiving the qualitatively assessed error.</x:v>
      </x:c>
      <x:c r="W74" s="3" t="str">
        <x:v>Immediate worker/equipment exposure and difficult rework before protection or inspection.</x:v>
      </x:c>
      <x:c r="X74" s="3" t="str">
        <x:v>Independent lift/installation protection and hold-point inspection before the next assembly release.</x:v>
      </x:c>
      <x:c r="Y74" s="3" t="str">
        <x:v>Accidents in later operation requiring independent commissioning and operational assurance failures.</x:v>
      </x:c>
      <x:c r="Z74" s="3" t="str">
        <x:v>assumed_not_verified</x:v>
      </x:c>
      <x:c r="AA74" s="3" t="str">
        <x:v>dr-sp-0027-s5-v1</x:v>
      </x:c>
    </x:row>
    <x:row r="75" ht="60" customHeight="1">
      <x:c r="A75" s="9" t="str">
        <x:v>sp-0028</x:v>
      </x:c>
      <x:c r="B75" s="9" t="str">
        <x:v>S1</x:v>
      </x:c>
      <x:c r="C75" s="12" t="n">
        <x:v>1</x:v>
      </x:c>
      <x:c r="D75" s="12" t="n">
        <x:v>1</x:v>
      </x:c>
      <x:c r="E75" s="12" t="n">
        <x:f>MIN(C75:D75)</x:f>
        <x:v>1</x:v>
      </x:c>
      <x:c r="F75" s="12" t="n">
        <x:f>MAX(C75:D75)</x:f>
        <x:v>1</x:v>
      </x:c>
      <x:c r="G75" s="9" t="str">
        <x:v>missing</x:v>
      </x:c>
      <x:c r="H75" s="12" t="n">
        <x:v>1</x:v>
      </x:c>
      <x:c r="I75" s="12" t="n">
        <x:v>1</x:v>
      </x:c>
      <x:c r="J75" s="9" t="str">
        <x:f>IF(H75=I75,"value","range")</x:f>
        <x:v>value</x:v>
      </x:c>
      <x:c r="K75" s="9" t="str">
        <x:v>medium</x:v>
      </x:c>
      <x:c r="L75" s="9" t="str">
        <x:v>supports_current_record</x:v>
      </x:c>
      <x:c r="M75" s="9" t="str">
        <x:v>Support the shared 1 without equating research readiness to pilot nuclear readiness.</x:v>
      </x:c>
      <x:c r="N75" s="9" t="str">
        <x:v>fusion-src-033;fusion-src-034;fusion-src-036</x:v>
      </x:c>
      <x:c r="O75" s="9" t="str">
        <x:v>A pilot commissioning scope including the nuclear/tritium interface checks actually required.</x:v>
      </x:c>
      <x:c r="P75" s="9" t="str">
        <x:v>false</x:v>
      </x:c>
      <x:c r="Q75" s="9" t="str">
        <x:v>false</x:v>
      </x:c>
      <x:c r="R75" s="9" t="str">
        <x:v>Commissioning</x:v>
      </x:c>
      <x:c r="S75" s="9" t="str">
        <x:v>exact_stage;target_programme_status</x:v>
      </x:c>
      <x:c r="T75" s="9" t="str">
        <x:v>observed facility milestone; official target</x:v>
      </x:c>
      <x:c r="U75" s="9" t="str">
        <x:v>Integrated readiness advances through physical startup and system checks, with substantial diagnostic reasoning. The analytical contribution justifies an intermediate 1; it does not make readiness principally informational.</x:v>
      </x:c>
      <x:c r="V75" s="9" t="str">
        <x:v>JT-60SA first plasma/component commissioning illustrates research startup, while ITER identifies further phases only as a proposed baseline.</x:v>
      </x:c>
      <x:c r="W75" s="9" t="str">
        <x:v>not_applicable</x:v>
      </x:c>
      <x:c r="X75" s="9" t="str">
        <x:v>not_applicable</x:v>
      </x:c>
      <x:c r="Y75" s="9" t="str">
        <x:v>not_applicable</x:v>
      </x:c>
      <x:c r="Z75" s="9" t="str">
        <x:v>not_applicable</x:v>
      </x:c>
      <x:c r="AA75" s="9" t="str">
        <x:v>dr-sp-0028-s1-v1</x:v>
      </x:c>
    </x:row>
    <x:row r="76" ht="44" customHeight="1">
      <x:c r="A76" s="3" t="str">
        <x:v>sp-0028</x:v>
      </x:c>
      <x:c r="B76" s="3" t="str">
        <x:v>S2</x:v>
      </x:c>
      <x:c r="C76" s="13" t="n">
        <x:v>1</x:v>
      </x:c>
      <x:c r="D76" s="13" t="n">
        <x:v>1</x:v>
      </x:c>
      <x:c r="E76" s="13" t="n">
        <x:f>MIN(C76:D76)</x:f>
        <x:v>1</x:v>
      </x:c>
      <x:c r="F76" s="13" t="n">
        <x:f>MAX(C76:D76)</x:f>
        <x:v>1</x:v>
      </x:c>
      <x:c r="G76" s="3" t="str">
        <x:v>missing</x:v>
      </x:c>
      <x:c r="H76" s="13" t="n">
        <x:v>1</x:v>
      </x:c>
      <x:c r="I76" s="13" t="n">
        <x:v>2</x:v>
      </x:c>
      <x:c r="J76" s="3" t="str">
        <x:f>IF(H76=I76,"value","range")</x:f>
        <x:v>range</x:v>
      </x:c>
      <x:c r="K76" s="3" t="str">
        <x:v>low</x:v>
      </x:c>
      <x:c r="L76" s="3" t="str">
        <x:v>recommends_range</x:v>
      </x:c>
      <x:c r="M76" s="3" t="str">
        <x:v>Recommend 1-2: the seed itself describes weeks-to-months checks while selecting 1, so precision is unwarranted.</x:v>
      </x:c>
      <x:c r="N76" s="3" t="str">
        <x:v>fusion-src-033;fusion-src-034;fusion-src-036</x:v>
      </x:c>
      <x:c r="O76" s="3" t="str">
        <x:v>Commissioning issue/retest logs separating short checks, access/repair loops and nuclear/tritium readiness phases.</x:v>
      </x:c>
      <x:c r="P76" s="3" t="str">
        <x:v>false</x:v>
      </x:c>
      <x:c r="Q76" s="3" t="str">
        <x:v>false</x:v>
      </x:c>
      <x:c r="R76" s="3" t="str">
        <x:v>Commissioning</x:v>
      </x:c>
      <x:c r="S76" s="3" t="str">
        <x:v>exact_stage;target_programme_status</x:v>
      </x:c>
      <x:c r="T76" s="3" t="str">
        <x:v>observed facility milestone; official target</x:v>
      </x:c>
      <x:c r="U76" s="3" t="str">
        <x:v>The ordinary loop is test, diagnose, physically correct and retest an interface or system. Whole-programme phase dates and first plasma are not the duration of each loop.</x:v>
      </x:c>
      <x:c r="V76" s="3" t="str">
        <x:v>Research commissioning is exact for some activities but adjacent to nuclear/tritium readiness; no AI-shortened comparable loop is observed.</x:v>
      </x:c>
      <x:c r="W76" s="3" t="str">
        <x:v>not_applicable</x:v>
      </x:c>
      <x:c r="X76" s="3" t="str">
        <x:v>not_applicable</x:v>
      </x:c>
      <x:c r="Y76" s="3" t="str">
        <x:v>not_applicable</x:v>
      </x:c>
      <x:c r="Z76" s="3" t="str">
        <x:v>not_applicable</x:v>
      </x:c>
      <x:c r="AA76" s="3" t="str">
        <x:v>dr-sp-0028-s2-v1</x:v>
      </x:c>
    </x:row>
    <x:row r="77" ht="60" customHeight="1">
      <x:c r="A77" s="9" t="str">
        <x:v>sp-0028</x:v>
      </x:c>
      <x:c r="B77" s="9" t="str">
        <x:v>S3</x:v>
      </x:c>
      <x:c r="C77" s="12" t="n">
        <x:v>1</x:v>
      </x:c>
      <x:c r="D77" s="12" t="n">
        <x:v>0</x:v>
      </x:c>
      <x:c r="E77" s="12" t="n">
        <x:f>MIN(C77:D77)</x:f>
        <x:v>0</x:v>
      </x:c>
      <x:c r="F77" s="12" t="n">
        <x:f>MAX(C77:D77)</x:f>
        <x:v>1</x:v>
      </x:c>
      <x:c r="G77" s="9" t="str">
        <x:v>prefer_independent</x:v>
      </x:c>
      <x:c r="H77" s="12" t="n">
        <x:v>0</x:v>
      </x:c>
      <x:c r="I77" s="12" t="n">
        <x:v>0</x:v>
      </x:c>
      <x:c r="J77" s="9" t="str">
        <x:f>IF(H77=I77,"value","range")</x:f>
        <x:v>value</x:v>
      </x:c>
      <x:c r="K77" s="9" t="str">
        <x:v>medium</x:v>
      </x:c>
      <x:c r="L77" s="9" t="str">
        <x:v>supports_current_record</x:v>
      </x:c>
      <x:c r="M77" s="9" t="str">
        <x:v>Support the owner preference for independent 0 at the integrated-attempt unit.</x:v>
      </x:c>
      <x:c r="N77" s="9" t="str">
        <x:v>fusion-src-033;fusion-src-034;fusion-src-036</x:v>
      </x:c>
      <x:c r="O77" s="9" t="str">
        <x:v>Cost and concurrent-test evidence showing that equivalent integrated readiness can be proven on independent parallel rigs.</x:v>
      </x:c>
      <x:c r="P77" s="9" t="str">
        <x:v>false</x:v>
      </x:c>
      <x:c r="Q77" s="9" t="str">
        <x:v>false</x:v>
      </x:c>
      <x:c r="R77" s="9" t="str">
        <x:v>Commissioning</x:v>
      </x:c>
      <x:c r="S77" s="9" t="str">
        <x:v>exact_stage;target_programme_status</x:v>
      </x:c>
      <x:c r="T77" s="9" t="str">
        <x:v>observed facility milestone; official target</x:v>
      </x:c>
      <x:c r="U77" s="9" t="str">
        <x:v>Subsystem checks may be modest-cost and partly parallel. Integrated readiness attempts use installed hardware, specialist teams and one compatible facility state, making decisive attempts expensive and strongly constrained.</x:v>
      </x:c>
      <x:c r="V77" s="9" t="str">
        <x:v>Staged startup supports the integrated dependency, but it does not furnish a complete pilot commissioning cost ledger.</x:v>
      </x:c>
      <x:c r="W77" s="9" t="str">
        <x:v>not_applicable</x:v>
      </x:c>
      <x:c r="X77" s="9" t="str">
        <x:v>not_applicable</x:v>
      </x:c>
      <x:c r="Y77" s="9" t="str">
        <x:v>not_applicable</x:v>
      </x:c>
      <x:c r="Z77" s="9" t="str">
        <x:v>not_applicable</x:v>
      </x:c>
      <x:c r="AA77" s="9" t="str">
        <x:v>dr-sp-0028-s3-v1</x:v>
      </x:c>
    </x:row>
    <x:row r="78" ht="60" customHeight="1">
      <x:c r="A78" s="3" t="str">
        <x:v>sp-0028</x:v>
      </x:c>
      <x:c r="B78" s="3" t="str">
        <x:v>S4</x:v>
      </x:c>
      <x:c r="C78" s="13" t="n">
        <x:v>0</x:v>
      </x:c>
      <x:c r="D78" s="13" t="n">
        <x:v>0</x:v>
      </x:c>
      <x:c r="E78" s="13" t="n">
        <x:f>MIN(C78:D78)</x:f>
        <x:v>0</x:v>
      </x:c>
      <x:c r="F78" s="13" t="n">
        <x:f>MAX(C78:D78)</x:f>
        <x:v>0</x:v>
      </x:c>
      <x:c r="G78" s="3" t="str">
        <x:v>missing</x:v>
      </x:c>
      <x:c r="H78" s="13" t="n">
        <x:v>0</x:v>
      </x:c>
      <x:c r="I78" s="13" t="n">
        <x:v>0</x:v>
      </x:c>
      <x:c r="J78" s="3" t="str">
        <x:f>IF(H78=I78,"value","range")</x:f>
        <x:v>value</x:v>
      </x:c>
      <x:c r="K78" s="3" t="str">
        <x:v>medium</x:v>
      </x:c>
      <x:c r="L78" s="3" t="str">
        <x:v>supports_current_record</x:v>
      </x:c>
      <x:c r="M78" s="3" t="str">
        <x:v>Retain 0 as a physical readiness floor without asserting fixed multi-week durations for every test.</x:v>
      </x:c>
      <x:c r="N78" s="3" t="str">
        <x:v>fusion-src-034;fusion-src-036</x:v>
      </x:c>
      <x:c r="O78" s="3" t="str">
        <x:v>A completed pilot readiness sequence with measured physical steps and institutional waits separated.</x:v>
      </x:c>
      <x:c r="P78" s="3" t="str">
        <x:v>false</x:v>
      </x:c>
      <x:c r="Q78" s="3" t="str">
        <x:v>false</x:v>
      </x:c>
      <x:c r="R78" s="3" t="str">
        <x:v>Commissioning</x:v>
      </x:c>
      <x:c r="S78" s="3" t="str">
        <x:v>exact_stage;target_programme_status</x:v>
      </x:c>
      <x:c r="T78" s="3" t="str">
        <x:v>official target</x:v>
      </x:c>
      <x:c r="U78" s="3" t="str">
        <x:v>Physical conditioning, vacuum/cryogenic states, repairs and restart sequences are inside commissioning. Administrative hold points and generic restricted-access waiting are excluded from S4.</x:v>
      </x:c>
      <x:c r="V78" s="3" t="str">
        <x:v>JT-60SA documents staged component work; ITER's later nuclear/tritium phases are planned, not measured durations.</x:v>
      </x:c>
      <x:c r="W78" s="3" t="str">
        <x:v>not_applicable</x:v>
      </x:c>
      <x:c r="X78" s="3" t="str">
        <x:v>not_applicable</x:v>
      </x:c>
      <x:c r="Y78" s="3" t="str">
        <x:v>not_applicable</x:v>
      </x:c>
      <x:c r="Z78" s="3" t="str">
        <x:v>not_applicable</x:v>
      </x:c>
      <x:c r="AA78" s="3" t="str">
        <x:v>dr-sp-0028-s4-v1</x:v>
      </x:c>
    </x:row>
    <x:row r="79" ht="60" customHeight="1">
      <x:c r="A79" s="9" t="str">
        <x:v>sp-0028</x:v>
      </x:c>
      <x:c r="B79" s="9" t="str">
        <x:v>S5</x:v>
      </x:c>
      <x:c r="C79" s="12" t="n">
        <x:v>1</x:v>
      </x:c>
      <x:c r="D79" s="12" t="n">
        <x:v>0</x:v>
      </x:c>
      <x:c r="E79" s="12" t="n">
        <x:f>MIN(C79:D79)</x:f>
        <x:v>0</x:v>
      </x:c>
      <x:c r="F79" s="12" t="n">
        <x:f>MAX(C79:D79)</x:f>
        <x:v>1</x:v>
      </x:c>
      <x:c r="G79" s="9" t="str">
        <x:v>prefer_seed</x:v>
      </x:c>
      <x:c r="H79" s="12" t="n">
        <x:v>1</x:v>
      </x:c>
      <x:c r="I79" s="12" t="n">
        <x:v>1</x:v>
      </x:c>
      <x:c r="J79" s="9" t="str">
        <x:f>IF(H79=I79,"value","range")</x:f>
        <x:v>value</x:v>
      </x:c>
      <x:c r="K79" s="9" t="str">
        <x:v>low</x:v>
      </x:c>
      <x:c r="L79" s="9" t="str">
        <x:v>requires_human_expert</x:v>
      </x:c>
      <x:c r="M79" s="9" t="str">
        <x:v>Support owner 1 provisionally; obtain named expertise before canonical/public approval of this boundary.</x:v>
      </x:c>
      <x:c r="N79" s="9" t="str">
        <x:v>fusion-src-033;fusion-src-034;fusion-src-036</x:v>
      </x:c>
      <x:c r="O79" s="9" t="str">
        <x:v>A pilot commissioning safety case with independently verified interlocks and release hold points.</x:v>
      </x:c>
      <x:c r="P79" s="9" t="str">
        <x:v>true</x:v>
      </x:c>
      <x:c r="Q79" s="9" t="str">
        <x:v>true</x:v>
      </x:c>
      <x:c r="R79" s="9" t="str">
        <x:v>Commissioning</x:v>
      </x:c>
      <x:c r="S79" s="9" t="str">
        <x:v>exact_stage;target_programme_status</x:v>
      </x:c>
      <x:c r="T79" s="9" t="str">
        <x:v>observed facility milestone; official target</x:v>
      </x:c>
      <x:c r="U79" s="9" t="str">
        <x:v>Erroneous startup sequencing or interface checks can damage installed hardware before independent interlocks or readiness hold points act. Correctly discovering a fault is the purpose of commissioning and is not itself an error.</x:v>
      </x:c>
      <x:c r="V79" s="9" t="str">
        <x:v>Research first plasma does not validate nuclear/tritium interlock independence or the pilot consequence envelope.</x:v>
      </x:c>
      <x:c r="W79" s="9" t="str">
        <x:v>Installed-equipment damage or local safety exposure before the independent startup controls act.</x:v>
      </x:c>
      <x:c r="X79" s="9" t="str">
        <x:v>Independent startup interlocks and readiness-release hold points before the next energization/inventory step.</x:v>
      </x:c>
      <x:c r="Y79" s="9" t="str">
        <x:v>Subsequent reliability or operating accidents requiring separate independent readiness/operating failures.</x:v>
      </x:c>
      <x:c r="Z79" s="9" t="str">
        <x:v>assumed_not_verified</x:v>
      </x:c>
      <x:c r="AA79" s="9" t="str">
        <x:v>dr-sp-0028-s5-v1</x:v>
      </x:c>
    </x:row>
    <x:row r="80" ht="60" customHeight="1">
      <x:c r="A80" s="3" t="str">
        <x:v>sp-0029</x:v>
      </x:c>
      <x:c r="B80" s="3" t="str">
        <x:v>S1</x:v>
      </x:c>
      <x:c r="C80" s="13" t="n">
        <x:v>0</x:v>
      </x:c>
      <x:c r="D80" s="13" t="n">
        <x:v>0</x:v>
      </x:c>
      <x:c r="E80" s="13" t="n">
        <x:f>MIN(C80:D80)</x:f>
        <x:v>0</x:v>
      </x:c>
      <x:c r="F80" s="13" t="n">
        <x:f>MAX(C80:D80)</x:f>
        <x:v>0</x:v>
      </x:c>
      <x:c r="G80" s="3" t="str">
        <x:v>missing</x:v>
      </x:c>
      <x:c r="H80" s="13" t="n">
        <x:v>0</x:v>
      </x:c>
      <x:c r="I80" s="13" t="n">
        <x:v>0</x:v>
      </x:c>
      <x:c r="J80" s="3" t="str">
        <x:f>IF(H80=I80,"value","range")</x:f>
        <x:v>value</x:v>
      </x:c>
      <x:c r="K80" s="3" t="str">
        <x:v>high</x:v>
      </x:c>
      <x:c r="L80" s="3" t="str">
        <x:v>supports_current_record</x:v>
      </x:c>
      <x:c r="M80" s="3" t="str">
        <x:v>Accumulated operating evidence is primarily physical even when measured reliability is still missing.</x:v>
      </x:c>
      <x:c r="N80" s="3" t="str">
        <x:v>missing</x:v>
      </x:c>
      <x:c r="O80" s="3" t="str">
        <x:v>Revisit if an accepted demonstration protocol changes the required operating evidence.</x:v>
      </x:c>
      <x:c r="P80" s="3" t="str">
        <x:v>false</x:v>
      </x:c>
      <x:c r="Q80" s="3" t="str">
        <x:v>false</x:v>
      </x:c>
      <x:c r="R80" s="3" t="str">
        <x:v>Reliability demonstration</x:v>
      </x:c>
      <x:c r="S80" s="3" t="str">
        <x:v>absent</x:v>
      </x:c>
      <x:c r="T80" s="3" t="str">
        <x:v>No directly relevant canonical source located</x:v>
      </x:c>
      <x:c r="U80" s="3" t="str">
        <x:v>Reliability demonstration advances by sustained/repeated integrated operation. Analysis interprets the evidence but does not substitute for the operating exposure required by the frozen stage.</x:v>
      </x:c>
      <x:c r="V80" s="3" t="str">
        <x:v>No comparable commercial availability case is present; the 0 follows the stage definition, not an inferred achieved outcome.</x:v>
      </x:c>
      <x:c r="W80" s="3" t="str">
        <x:v>not_applicable</x:v>
      </x:c>
      <x:c r="X80" s="3" t="str">
        <x:v>not_applicable</x:v>
      </x:c>
      <x:c r="Y80" s="3" t="str">
        <x:v>not_applicable</x:v>
      </x:c>
      <x:c r="Z80" s="3" t="str">
        <x:v>not_applicable</x:v>
      </x:c>
      <x:c r="AA80" s="3" t="str">
        <x:v>dr-sp-0029-s1-v1</x:v>
      </x:c>
    </x:row>
    <x:row r="81" ht="60" customHeight="1">
      <x:c r="A81" s="9" t="str">
        <x:v>sp-0029</x:v>
      </x:c>
      <x:c r="B81" s="9" t="str">
        <x:v>S2</x:v>
      </x:c>
      <x:c r="C81" s="12" t="n">
        <x:v>0</x:v>
      </x:c>
      <x:c r="D81" s="12" t="n">
        <x:v>0</x:v>
      </x:c>
      <x:c r="E81" s="12" t="n">
        <x:f>MIN(C81:D81)</x:f>
        <x:v>0</x:v>
      </x:c>
      <x:c r="F81" s="12" t="n">
        <x:f>MAX(C81:D81)</x:f>
        <x:v>0</x:v>
      </x:c>
      <x:c r="G81" s="9" t="str">
        <x:v>missing</x:v>
      </x:c>
      <x:c r="H81" s="12" t="n">
        <x:v>0</x:v>
      </x:c>
      <x:c r="I81" s="12" t="n">
        <x:v>1</x:v>
      </x:c>
      <x:c r="J81" s="9" t="str">
        <x:f>IF(H81=I81,"value","range")</x:f>
        <x:v>range</x:v>
      </x:c>
      <x:c r="K81" s="9" t="str">
        <x:v>low</x:v>
      </x:c>
      <x:c r="L81" s="9" t="str">
        <x:v>requires_human_expert</x:v>
      </x:c>
      <x:c r="M81" s="9" t="str">
        <x:v>Keep a slow 0-1 candidate interval but do not assume the shared 0 proves a years-long statistical target.</x:v>
      </x:c>
      <x:c r="N81" s="9" t="str">
        <x:v>fusion-src-011;fusion-src-032</x:v>
      </x:c>
      <x:c r="O81" s="9" t="str">
        <x:v>A named pilot reliability objective and validated exposure/failure/repair protocol, followed by observed campaign evidence.</x:v>
      </x:c>
      <x:c r="P81" s="9" t="str">
        <x:v>true</x:v>
      </x:c>
      <x:c r="Q81" s="9" t="str">
        <x:v>true</x:v>
      </x:c>
      <x:c r="R81" s="9" t="str">
        <x:v>Reliability demonstration</x:v>
      </x:c>
      <x:c r="S81" s="9" t="str">
        <x:v>adjacent_stage_analogy;pathway_contrast</x:v>
      </x:c>
      <x:c r="T81" s="9" t="str">
        <x:v>observed facility milestone; observed experimental result</x:v>
      </x:c>
      <x:c r="U81" s="9" t="str">
        <x:v>A long pulse is not a learn-demonstrate-revise cycle for integrated availability. Required exposure, observed failures, repair and retest depend on an as-yet unspecified reliability claim and confidence criterion.</x:v>
      </x:c>
      <x:c r="V81" s="9" t="str">
        <x:v>HH70 data are company-reported research operation; W7-X is a stellarator contrast with distinct discharge metrics, not tokamak availability.</x:v>
      </x:c>
      <x:c r="W81" s="9" t="str">
        <x:v>not_applicable</x:v>
      </x:c>
      <x:c r="X81" s="9" t="str">
        <x:v>not_applicable</x:v>
      </x:c>
      <x:c r="Y81" s="9" t="str">
        <x:v>not_applicable</x:v>
      </x:c>
      <x:c r="Z81" s="9" t="str">
        <x:v>not_applicable</x:v>
      </x:c>
      <x:c r="AA81" s="9" t="str">
        <x:v>dr-sp-0029-s2-v1</x:v>
      </x:c>
    </x:row>
    <x:row r="82" ht="60" customHeight="1">
      <x:c r="A82" s="3" t="str">
        <x:v>sp-0029</x:v>
      </x:c>
      <x:c r="B82" s="3" t="str">
        <x:v>S3</x:v>
      </x:c>
      <x:c r="C82" s="13" t="n">
        <x:v>0</x:v>
      </x:c>
      <x:c r="D82" s="13" t="n">
        <x:v>0</x:v>
      </x:c>
      <x:c r="E82" s="13" t="n">
        <x:f>MIN(C82:D82)</x:f>
        <x:v>0</x:v>
      </x:c>
      <x:c r="F82" s="13" t="n">
        <x:f>MAX(C82:D82)</x:f>
        <x:v>0</x:v>
      </x:c>
      <x:c r="G82" s="3" t="str">
        <x:v>missing</x:v>
      </x:c>
      <x:c r="H82" s="13" t="n">
        <x:v>0</x:v>
      </x:c>
      <x:c r="I82" s="13" t="n">
        <x:v>0</x:v>
      </x:c>
      <x:c r="J82" s="3" t="str">
        <x:f>IF(H82=I82,"value","range")</x:f>
        <x:v>value</x:v>
      </x:c>
      <x:c r="K82" s="3" t="str">
        <x:v>low</x:v>
      </x:c>
      <x:c r="L82" s="3" t="str">
        <x:v>supports_current_record</x:v>
      </x:c>
      <x:c r="M82" s="3" t="str">
        <x:v>Retain 0 qualitatively for expensive limited integrated attempts, not a literal claim of no repetitions.</x:v>
      </x:c>
      <x:c r="N82" s="3" t="str">
        <x:v>fusion-src-011;fusion-src-032</x:v>
      </x:c>
      <x:c r="O82" s="3" t="str">
        <x:v>A complete campaign cost, uptime/downtime and statistically independent exposure record.</x:v>
      </x:c>
      <x:c r="P82" s="3" t="str">
        <x:v>false</x:v>
      </x:c>
      <x:c r="Q82" s="3" t="str">
        <x:v>false</x:v>
      </x:c>
      <x:c r="R82" s="3" t="str">
        <x:v>Reliability demonstration</x:v>
      </x:c>
      <x:c r="S82" s="3" t="str">
        <x:v>adjacent_stage_analogy;pathway_contrast</x:v>
      </x:c>
      <x:c r="T82" s="3" t="str">
        <x:v>observed facility milestone; observed experimental result</x:v>
      </x:c>
      <x:c r="U82" s="3" t="str">
        <x:v>Integrated campaigns consume costly facility operation, components and staff. Repeated pulses and subsystem analyses can run frequently or in parallel, but they do not create independent full-system availability demonstrations.</x:v>
      </x:c>
      <x:c r="V82" s="3" t="str">
        <x:v>Pulse counts/duration omit downtime and maintenance; the sources cannot quantify independent reliability-test throughput.</x:v>
      </x:c>
      <x:c r="W82" s="3" t="str">
        <x:v>not_applicable</x:v>
      </x:c>
      <x:c r="X82" s="3" t="str">
        <x:v>not_applicable</x:v>
      </x:c>
      <x:c r="Y82" s="3" t="str">
        <x:v>not_applicable</x:v>
      </x:c>
      <x:c r="Z82" s="3" t="str">
        <x:v>not_applicable</x:v>
      </x:c>
      <x:c r="AA82" s="3" t="str">
        <x:v>dr-sp-0029-s3-v1</x:v>
      </x:c>
    </x:row>
    <x:row r="83" ht="60" customHeight="1">
      <x:c r="A83" s="9" t="str">
        <x:v>sp-0029</x:v>
      </x:c>
      <x:c r="B83" s="9" t="str">
        <x:v>S4</x:v>
      </x:c>
      <x:c r="C83" s="12" t="n">
        <x:v>0</x:v>
      </x:c>
      <x:c r="D83" s="12" t="n">
        <x:v>0</x:v>
      </x:c>
      <x:c r="E83" s="12" t="n">
        <x:f>MIN(C83:D83)</x:f>
        <x:v>0</x:v>
      </x:c>
      <x:c r="F83" s="12" t="n">
        <x:f>MAX(C83:D83)</x:f>
        <x:v>0</x:v>
      </x:c>
      <x:c r="G83" s="9" t="str">
        <x:v>missing</x:v>
      </x:c>
      <x:c r="H83" s="12" t="n">
        <x:v>0</x:v>
      </x:c>
      <x:c r="I83" s="12" t="n">
        <x:v>0</x:v>
      </x:c>
      <x:c r="J83" s="9" t="str">
        <x:f>IF(H83=I83,"value","range")</x:f>
        <x:v>value</x:v>
      </x:c>
      <x:c r="K83" s="9" t="str">
        <x:v>medium</x:v>
      </x:c>
      <x:c r="L83" s="9" t="str">
        <x:v>supports_current_record</x:v>
      </x:c>
      <x:c r="M83" s="9" t="str">
        <x:v>Keep 0 for operating-time dependence without inventing an availability threshold or exposure requirement.</x:v>
      </x:c>
      <x:c r="N83" s="9" t="str">
        <x:v>missing</x:v>
      </x:c>
      <x:c r="O83" s="9" t="str">
        <x:v>An accepted accelerated-demonstration equivalence or a specified reliability protocol changing the physical evidence required.</x:v>
      </x:c>
      <x:c r="P83" s="9" t="str">
        <x:v>false</x:v>
      </x:c>
      <x:c r="Q83" s="9" t="str">
        <x:v>false</x:v>
      </x:c>
      <x:c r="R83" s="9" t="str">
        <x:v>Reliability demonstration</x:v>
      </x:c>
      <x:c r="S83" s="9" t="str">
        <x:v>absent</x:v>
      </x:c>
      <x:c r="T83" s="9" t="str">
        <x:v>No directly relevant canonical source located</x:v>
      </x:c>
      <x:c r="U83" s="9" t="str">
        <x:v>An accepted reliability demonstration necessarily accumulates operating exposure and, where required, repair-return experience. Better inference cannot substitute for missing physical operation; the exact required duration remains unspecified.</x:v>
      </x:c>
      <x:c r="V83" s="9" t="str">
        <x:v>The structural floor follows the frozen demonstration scope. No pulse record supplies the missing integrated reliability outcome or calendar minimum.</x:v>
      </x:c>
      <x:c r="W83" s="9" t="str">
        <x:v>not_applicable</x:v>
      </x:c>
      <x:c r="X83" s="9" t="str">
        <x:v>not_applicable</x:v>
      </x:c>
      <x:c r="Y83" s="9" t="str">
        <x:v>not_applicable</x:v>
      </x:c>
      <x:c r="Z83" s="9" t="str">
        <x:v>not_applicable</x:v>
      </x:c>
      <x:c r="AA83" s="9" t="str">
        <x:v>dr-sp-0029-s4-v1</x:v>
      </x:c>
    </x:row>
    <x:row r="84" ht="60" customHeight="1">
      <x:c r="A84" s="3" t="str">
        <x:v>sp-0029</x:v>
      </x:c>
      <x:c r="B84" s="3" t="str">
        <x:v>S5</x:v>
      </x:c>
      <x:c r="C84" s="13" t="n">
        <x:v>1</x:v>
      </x:c>
      <x:c r="D84" s="13" t="n">
        <x:v>0</x:v>
      </x:c>
      <x:c r="E84" s="13" t="n">
        <x:f>MIN(C84:D84)</x:f>
        <x:v>0</x:v>
      </x:c>
      <x:c r="F84" s="13" t="n">
        <x:f>MAX(C84:D84)</x:f>
        <x:v>1</x:v>
      </x:c>
      <x:c r="G84" s="3" t="str">
        <x:v>prefer_seed</x:v>
      </x:c>
      <x:c r="H84" s="13" t="n">
        <x:v>1</x:v>
      </x:c>
      <x:c r="I84" s="13" t="n">
        <x:v>1</x:v>
      </x:c>
      <x:c r="J84" s="3" t="str">
        <x:f>IF(H84=I84,"value","range")</x:f>
        <x:v>value</x:v>
      </x:c>
      <x:c r="K84" s="3" t="str">
        <x:v>low</x:v>
      </x:c>
      <x:c r="L84" s="3" t="str">
        <x:v>requires_human_expert</x:v>
      </x:c>
      <x:c r="M84" s="3" t="str">
        <x:v>Support owner 1 provisionally with an explicit distinction between informative failure and erroneous assurance.</x:v>
      </x:c>
      <x:c r="N84" s="3" t="str">
        <x:v>missing</x:v>
      </x:c>
      <x:c r="O84" s="3" t="str">
        <x:v>A reliability test/acceptance plan with independent data validation, readiness review and machine protection.</x:v>
      </x:c>
      <x:c r="P84" s="3" t="str">
        <x:v>true</x:v>
      </x:c>
      <x:c r="Q84" s="3" t="str">
        <x:v>true</x:v>
      </x:c>
      <x:c r="R84" s="3" t="str">
        <x:v>Reliability demonstration</x:v>
      </x:c>
      <x:c r="S84" s="3" t="str">
        <x:v>absent</x:v>
      </x:c>
      <x:c r="T84" s="3" t="str">
        <x:v>No directly relevant canonical source located</x:v>
      </x:c>
      <x:c r="U84" s="3" t="str">
        <x:v>Component failure during a correctly conducted reliability test is evidence, not an error by the stage. Erroneous test conduct or unsupported readiness inference can waste irrecoverable exposure or directly damage equipment before independent protection/assurance.</x:v>
      </x:c>
      <x:c r="V84" s="3" t="str">
        <x:v>No canonical integrated reliability case defines the acceptance/protection boundary. The bounded judgment must not use ordinary test failures as proof of catastrophe.</x:v>
      </x:c>
      <x:c r="W84" s="3" t="str">
        <x:v>Invalidated operating evidence, unsafe test conduct and false readiness inputs before independent acceptance/protection.</x:v>
      </x:c>
      <x:c r="X84" s="3" t="str">
        <x:v>Independent machine protection during the test and independent reliability-evidence/readiness acceptance before operational release.</x:v>
      </x:c>
      <x:c r="Y84" s="3" t="str">
        <x:v>Ordinary informative component failures; later operating cascades needing an independent readiness or safety failure.</x:v>
      </x:c>
      <x:c r="Z84" s="3" t="str">
        <x:v>assumed_not_verified</x:v>
      </x:c>
      <x:c r="AA84" s="3" t="str">
        <x:v>dr-sp-0029-s5-v1</x:v>
      </x:c>
    </x:row>
    <x:row r="85" ht="44" customHeight="1">
      <x:c r="A85" s="9" t="str">
        <x:v>sp-0030</x:v>
      </x:c>
      <x:c r="B85" s="9" t="str">
        <x:v>S1</x:v>
      </x:c>
      <x:c r="C85" s="12" t="n">
        <x:v>3</x:v>
      </x:c>
      <x:c r="D85" s="12" t="n">
        <x:v>4</x:v>
      </x:c>
      <x:c r="E85" s="12" t="n">
        <x:f>MIN(C85:D85)</x:f>
        <x:v>3</x:v>
      </x:c>
      <x:c r="F85" s="12" t="n">
        <x:f>MAX(C85:D85)</x:f>
        <x:v>4</x:v>
      </x:c>
      <x:c r="G85" s="9" t="str">
        <x:v>prefer_independent</x:v>
      </x:c>
      <x:c r="H85" s="12" t="n">
        <x:v>4</x:v>
      </x:c>
      <x:c r="I85" s="12" t="n">
        <x:v>4</x:v>
      </x:c>
      <x:c r="J85" s="9" t="str">
        <x:f>IF(H85=I85,"value","range")</x:f>
        <x:v>value</x:v>
      </x:c>
      <x:c r="K85" s="9" t="str">
        <x:v>high</x:v>
      </x:c>
      <x:c r="L85" s="9" t="str">
        <x:v>supports_current_record</x:v>
      </x:c>
      <x:c r="M85" s="9" t="str">
        <x:v>Support owner 4 as a frozen-scope judgment without asserting a jurisdiction-free performance record.</x:v>
      </x:c>
      <x:c r="N85" s="9" t="str">
        <x:v>fusion-src-039;fusion-src-040</x:v>
      </x:c>
      <x:c r="O85" s="9" t="str">
        <x:v>Revisit if a separately defined jurisdictional stage includes physical testing rather than evidence review.</x:v>
      </x:c>
      <x:c r="P85" s="9" t="str">
        <x:v>false</x:v>
      </x:c>
      <x:c r="Q85" s="9" t="str">
        <x:v>false</x:v>
      </x:c>
      <x:c r="R85" s="9" t="str">
        <x:v>Licensing</x:v>
      </x:c>
      <x:c r="S85" s="9" t="str">
        <x:v>exact_stage</x:v>
      </x:c>
      <x:c r="T85" s="9" t="str">
        <x:v>observed legal/regulatory status</x:v>
      </x:c>
      <x:c r="U85" s="9" t="str">
        <x:v>Licensing work is analysis, evidence review, communication and decision-making. Producing the construction/operating evidence being reviewed is outside this licensing stage.</x:v>
      </x:c>
      <x:c r="V85" s="9" t="str">
        <x:v>The NRC proposed rule/status documents establish regulatory work and status only, not a completed licence or a globally common process.</x:v>
      </x:c>
      <x:c r="W85" s="9" t="str">
        <x:v>not_applicable</x:v>
      </x:c>
      <x:c r="X85" s="9" t="str">
        <x:v>not_applicable</x:v>
      </x:c>
      <x:c r="Y85" s="9" t="str">
        <x:v>not_applicable</x:v>
      </x:c>
      <x:c r="Z85" s="9" t="str">
        <x:v>not_applicable</x:v>
      </x:c>
      <x:c r="AA85" s="9" t="str">
        <x:v>dr-sp-0030-s1-v1</x:v>
      </x:c>
    </x:row>
    <x:row r="86" ht="60" customHeight="1">
      <x:c r="A86" s="3" t="str">
        <x:v>sp-0030</x:v>
      </x:c>
      <x:c r="B86" s="3" t="str">
        <x:v>S2</x:v>
      </x:c>
      <x:c r="C86" s="13" t="n">
        <x:v>1</x:v>
      </x:c>
      <x:c r="D86" s="13" t="n">
        <x:v>0</x:v>
      </x:c>
      <x:c r="E86" s="13" t="n">
        <x:f>MIN(C86:D86)</x:f>
        <x:v>0</x:v>
      </x:c>
      <x:c r="F86" s="13" t="n">
        <x:f>MAX(C86:D86)</x:f>
        <x:v>1</x:v>
      </x:c>
      <x:c r="G86" s="3" t="str">
        <x:v>needs_domain_review</x:v>
      </x:c>
      <x:c r="H86" s="13" t="n">
        <x:v>0</x:v>
      </x:c>
      <x:c r="I86" s="13" t="n">
        <x:v>1</x:v>
      </x:c>
      <x:c r="J86" s="3" t="str">
        <x:f>IF(H86=I86,"value","range")</x:f>
        <x:v>range</x:v>
      </x:c>
      <x:c r="K86" s="3" t="str">
        <x:v>low</x:v>
      </x:c>
      <x:c r="L86" s="3" t="str">
        <x:v>requires_jurisdiction_variant</x:v>
      </x:c>
      <x:c r="M86" s="3" t="str">
        <x:v>Carry 0-1 as an unadjudicated candidate range, not an empirical bound; do not select either owner-withheld value without a jurisdiction.</x:v>
      </x:c>
      <x:c r="N86" s="3" t="str">
        <x:v>fusion-src-039;fusion-src-040;fusion-src-004</x:v>
      </x:c>
      <x:c r="O86" s="3" t="str">
        <x:v>A defined jurisdiction/pathway and documented application-review-response chronology under the applicable framework.</x:v>
      </x:c>
      <x:c r="P86" s="3" t="str">
        <x:v>true</x:v>
      </x:c>
      <x:c r="Q86" s="3" t="str">
        <x:v>true</x:v>
      </x:c>
      <x:c r="R86" s="3" t="str">
        <x:v>Licensing</x:v>
      </x:c>
      <x:c r="S86" s="3" t="str">
        <x:v>exact_stage</x:v>
      </x:c>
      <x:c r="T86" s="3" t="str">
        <x:v>observed legal/regulatory status</x:v>
      </x:c>
      <x:c r="U86" s="3" t="str">
        <x:v>The relevant loop is application, substantive review, response and revision. A 90-day rulemaking comment period is not a plant-review cycle; no comparable completed fusion licensing duration is available.</x:v>
      </x:c>
      <x:c r="V86" s="3" t="str">
        <x:v>NRC proposed-rule status and enacted PRC authority are distinct. Chinese legal interpretation remains subject to qualified native-language regulatory review.</x:v>
      </x:c>
      <x:c r="W86" s="3" t="str">
        <x:v>not_applicable</x:v>
      </x:c>
      <x:c r="X86" s="3" t="str">
        <x:v>not_applicable</x:v>
      </x:c>
      <x:c r="Y86" s="3" t="str">
        <x:v>not_applicable</x:v>
      </x:c>
      <x:c r="Z86" s="3" t="str">
        <x:v>not_applicable</x:v>
      </x:c>
      <x:c r="AA86" s="3" t="str">
        <x:v>dr-sp-0030-s2-v1</x:v>
      </x:c>
    </x:row>
    <x:row r="87" ht="60" customHeight="1">
      <x:c r="A87" s="9" t="str">
        <x:v>sp-0030</x:v>
      </x:c>
      <x:c r="B87" s="9" t="str">
        <x:v>S3</x:v>
      </x:c>
      <x:c r="C87" s="12" t="n">
        <x:v>1</x:v>
      </x:c>
      <x:c r="D87" s="12" t="n">
        <x:v>0</x:v>
      </x:c>
      <x:c r="E87" s="12" t="n">
        <x:f>MIN(C87:D87)</x:f>
        <x:v>0</x:v>
      </x:c>
      <x:c r="F87" s="12" t="n">
        <x:f>MAX(C87:D87)</x:f>
        <x:v>1</x:v>
      </x:c>
      <x:c r="G87" s="9" t="str">
        <x:v>needs_domain_review</x:v>
      </x:c>
      <x:c r="H87" s="12" t="n">
        <x:v>0</x:v>
      </x:c>
      <x:c r="I87" s="12" t="n">
        <x:v>1</x:v>
      </x:c>
      <x:c r="J87" s="9" t="str">
        <x:f>IF(H87=I87,"value","range")</x:f>
        <x:v>range</x:v>
      </x:c>
      <x:c r="K87" s="9" t="str">
        <x:v>low</x:v>
      </x:c>
      <x:c r="L87" s="9" t="str">
        <x:v>requires_jurisdiction_variant</x:v>
      </x:c>
      <x:c r="M87" s="9" t="str">
        <x:v>Preserve 0-1 pending a jurisdiction-specific attempt definition, respecting the unresolved owner disposition.</x:v>
      </x:c>
      <x:c r="N87" s="9" t="str">
        <x:v>fusion-src-039;fusion-src-040;fusion-src-004</x:v>
      </x:c>
      <x:c r="O87" s="9" t="str">
        <x:v>Costed application and formal-review cases, with parallel drafting separated from substantive review throughput.</x:v>
      </x:c>
      <x:c r="P87" s="9" t="str">
        <x:v>true</x:v>
      </x:c>
      <x:c r="Q87" s="9" t="str">
        <x:v>true</x:v>
      </x:c>
      <x:c r="R87" s="9" t="str">
        <x:v>Licensing</x:v>
      </x:c>
      <x:c r="S87" s="9" t="str">
        <x:v>exact_stage</x:v>
      </x:c>
      <x:c r="T87" s="9" t="str">
        <x:v>observed legal/regulatory status</x:v>
      </x:c>
      <x:c r="U87" s="9" t="str">
        <x:v>Drafting and analysis can be repeated at lower marginal cost and in parallel; formal review consumes specialized effort and has a regime-specific throughput constraint. No measured comparable cost/throughput case resolves their balance.</x:v>
      </x:c>
      <x:c r="V87" s="9" t="str">
        <x:v>Legal sources establish authority or proposed process, not observed affordability or the number of attainable independent review cycles.</x:v>
      </x:c>
      <x:c r="W87" s="9" t="str">
        <x:v>not_applicable</x:v>
      </x:c>
      <x:c r="X87" s="9" t="str">
        <x:v>not_applicable</x:v>
      </x:c>
      <x:c r="Y87" s="9" t="str">
        <x:v>not_applicable</x:v>
      </x:c>
      <x:c r="Z87" s="9" t="str">
        <x:v>not_applicable</x:v>
      </x:c>
      <x:c r="AA87" s="9" t="str">
        <x:v>dr-sp-0030-s3-v1</x:v>
      </x:c>
    </x:row>
    <x:row r="88" ht="60" customHeight="1">
      <x:c r="A88" s="3" t="str">
        <x:v>sp-0030</x:v>
      </x:c>
      <x:c r="B88" s="3" t="str">
        <x:v>S4</x:v>
      </x:c>
      <x:c r="C88" s="13" t="n">
        <x:v>3</x:v>
      </x:c>
      <x:c r="D88" s="13" t="n">
        <x:v>4</x:v>
      </x:c>
      <x:c r="E88" s="13" t="n">
        <x:f>MIN(C88:D88)</x:f>
        <x:v>3</x:v>
      </x:c>
      <x:c r="F88" s="13" t="n">
        <x:f>MAX(C88:D88)</x:f>
        <x:v>4</x:v>
      </x:c>
      <x:c r="G88" s="3" t="str">
        <x:v>prefer_independent</x:v>
      </x:c>
      <x:c r="H88" s="13" t="n">
        <x:v>4</x:v>
      </x:c>
      <x:c r="I88" s="13" t="n">
        <x:v>4</x:v>
      </x:c>
      <x:c r="J88" s="3" t="str">
        <x:f>IF(H88=I88,"value","range")</x:f>
        <x:v>value</x:v>
      </x:c>
      <x:c r="K88" s="3" t="str">
        <x:v>high</x:v>
      </x:c>
      <x:c r="L88" s="3" t="str">
        <x:v>supports_current_record</x:v>
      </x:c>
      <x:c r="M88" s="3" t="str">
        <x:v>Support owner 4 while retaining jurisdiction-dependent S2/S3 and the missing completed case.</x:v>
      </x:c>
      <x:c r="N88" s="3" t="str">
        <x:v>fusion-src-039;fusion-src-040</x:v>
      </x:c>
      <x:c r="O88" s="3" t="str">
        <x:v>Revisit only if a jurisdictional variant explicitly incorporates physical test execution inside this stage.</x:v>
      </x:c>
      <x:c r="P88" s="3" t="str">
        <x:v>false</x:v>
      </x:c>
      <x:c r="Q88" s="3" t="str">
        <x:v>false</x:v>
      </x:c>
      <x:c r="R88" s="3" t="str">
        <x:v>Licensing</x:v>
      </x:c>
      <x:c r="S88" s="3" t="str">
        <x:v>exact_stage</x:v>
      </x:c>
      <x:c r="T88" s="3" t="str">
        <x:v>observed legal/regulatory status</x:v>
      </x:c>
      <x:c r="U88" s="3" t="str">
        <x:v>Licensing reviews evidence; construction, irradiation and physical operating demonstrations are separate stages. Hearings, statutory waits and regulator queues are institutional latency, not S4 physical floors.</x:v>
      </x:c>
      <x:c r="V88" s="3" t="str">
        <x:v>Legal texts do not empirically measure physical flexibility; the frozen stage boundary and owner decision ground this recommendation.</x:v>
      </x:c>
      <x:c r="W88" s="3" t="str">
        <x:v>not_applicable</x:v>
      </x:c>
      <x:c r="X88" s="3" t="str">
        <x:v>not_applicable</x:v>
      </x:c>
      <x:c r="Y88" s="3" t="str">
        <x:v>not_applicable</x:v>
      </x:c>
      <x:c r="Z88" s="3" t="str">
        <x:v>not_applicable</x:v>
      </x:c>
      <x:c r="AA88" s="3" t="str">
        <x:v>dr-sp-0030-s4-v1</x:v>
      </x:c>
    </x:row>
    <x:row r="89" ht="76" customHeight="1">
      <x:c r="A89" s="9" t="str">
        <x:v>sp-0030</x:v>
      </x:c>
      <x:c r="B89" s="9" t="str">
        <x:v>S5</x:v>
      </x:c>
      <x:c r="C89" s="12" t="n">
        <x:v>2</x:v>
      </x:c>
      <x:c r="D89" s="12" t="n">
        <x:v>0</x:v>
      </x:c>
      <x:c r="E89" s="12" t="n">
        <x:f>MIN(C89:D89)</x:f>
        <x:v>0</x:v>
      </x:c>
      <x:c r="F89" s="12" t="n">
        <x:f>MAX(C89:D89)</x:f>
        <x:v>2</x:v>
      </x:c>
      <x:c r="G89" s="9" t="str">
        <x:v>preserve_disagreement</x:v>
      </x:c>
      <x:c r="H89" s="12" t="n">
        <x:v>0</x:v>
      </x:c>
      <x:c r="I89" s="12" t="n">
        <x:v>2</x:v>
      </x:c>
      <x:c r="J89" s="9" t="str">
        <x:f>IF(H89=I89,"value","range")</x:f>
        <x:v>range</x:v>
      </x:c>
      <x:c r="K89" s="9" t="str">
        <x:v>low</x:v>
      </x:c>
      <x:c r="L89" s="9" t="str">
        <x:v>requires_human_expert</x:v>
      </x:c>
      <x:c r="M89" s="9" t="str">
        <x:v>Preserve the owner's 0-2 disagreement; do not manufacture 1 from two model marks.</x:v>
      </x:c>
      <x:c r="N89" s="9" t="str">
        <x:v>fusion-src-039;fusion-src-040;fusion-src-004</x:v>
      </x:c>
      <x:c r="O89" s="9" t="str">
        <x:v>A jurisdiction-specific licence/safety-case example identifying the next independent operating authorization and direct escaped consequences.</x:v>
      </x:c>
      <x:c r="P89" s="9" t="str">
        <x:v>true</x:v>
      </x:c>
      <x:c r="Q89" s="9" t="str">
        <x:v>true</x:v>
      </x:c>
      <x:c r="R89" s="9" t="str">
        <x:v>Licensing</x:v>
      </x:c>
      <x:c r="S89" s="9" t="str">
        <x:v>exact_stage</x:v>
      </x:c>
      <x:c r="T89" s="9" t="str">
        <x:v>observed legal/regulatory status</x:v>
      </x:c>
      <x:c r="U89" s="9" t="str">
        <x:v>A wrong approval or restrictive condition can authorize an unsafe step or impose serious rework before the next independent operating-readiness control. Do not assume that every downstream accident follows directly, or that regulator review catches every error inside this stage.</x:v>
      </x:c>
      <x:c r="V89" s="9" t="str">
        <x:v>Neither a proposed framework nor enacted authority identifies a verified independent post-licence boundary for a concrete pilot.</x:v>
      </x:c>
      <x:c r="W89" s="9" t="str">
        <x:v>Unsafe authorization, unjustified restrictions and serious rework before a verified independent operating boundary.</x:v>
      </x:c>
      <x:c r="X89" s="9" t="str">
        <x:v>Jurisdiction-specific independent operating-readiness authorization or technical protection after licence decision; existence/independence unresolved.</x:v>
      </x:c>
      <x:c r="Y89" s="9" t="str">
        <x:v>Remote plant/public harm that requires a separate independent operational safety failure; no assumed universal boundary.</x:v>
      </x:c>
      <x:c r="Z89" s="9" t="str">
        <x:v>assumed_not_verified</x:v>
      </x:c>
      <x:c r="AA89" s="9" t="str">
        <x:v>dr-sp-0030-s5-v1</x:v>
      </x:c>
    </x:row>
    <x:row r="90" ht="60" customHeight="1">
      <x:c r="A90" s="3" t="str">
        <x:v>sp-0031</x:v>
      </x:c>
      <x:c r="B90" s="3" t="str">
        <x:v>S1</x:v>
      </x:c>
      <x:c r="C90" s="13" t="n">
        <x:v>2</x:v>
      </x:c>
      <x:c r="D90" s="13" t="n">
        <x:v>2</x:v>
      </x:c>
      <x:c r="E90" s="13" t="n">
        <x:f>MIN(C90:D90)</x:f>
        <x:v>2</x:v>
      </x:c>
      <x:c r="F90" s="13" t="n">
        <x:f>MAX(C90:D90)</x:f>
        <x:v>2</x:v>
      </x:c>
      <x:c r="G90" s="3" t="str">
        <x:v>missing</x:v>
      </x:c>
      <x:c r="H90" s="13" t="n">
        <x:v>2</x:v>
      </x:c>
      <x:c r="I90" s="13" t="n">
        <x:v>2</x:v>
      </x:c>
      <x:c r="J90" s="3" t="str">
        <x:f>IF(H90=I90,"value","range")</x:f>
        <x:v>value</x:v>
      </x:c>
      <x:c r="K90" s="3" t="str">
        <x:v>low</x:v>
      </x:c>
      <x:c r="L90" s="3" t="str">
        <x:v>supports_current_record</x:v>
      </x:c>
      <x:c r="M90" s="3" t="str">
        <x:v>Keep the shared 2 as scope-based synthesis, not an observed grid-integration assessment.</x:v>
      </x:c>
      <x:c r="N90" s="3" t="str">
        <x:v>fusion-src-031</x:v>
      </x:c>
      <x:c r="O90" s="3" t="str">
        <x:v>An actual pilot electrical connection design and testing scope with documented physical works.</x:v>
      </x:c>
      <x:c r="P90" s="3" t="str">
        <x:v>false</x:v>
      </x:c>
      <x:c r="Q90" s="3" t="str">
        <x:v>false</x:v>
      </x:c>
      <x:c r="R90" s="3" t="str">
        <x:v>Grid integration</x:v>
      </x:c>
      <x:c r="S90" s="3" t="str">
        <x:v>target_programme_status</x:v>
      </x:c>
      <x:c r="T90" s="3" t="str">
        <x:v>company target</x:v>
      </x:c>
      <x:c r="U90" s="3" t="str">
        <x:v>Connection combines network/protection analysis with physical connection and energized testing. That mixed scope supports a provisional 2 even though no observed fusion grid-export case is available.</x:v>
      </x:c>
      <x:c r="V90" s="3" t="str">
        <x:v>SPARC's company target is not a power-plant grid connection; it is only a limit on what the evidence can establish.</x:v>
      </x:c>
      <x:c r="W90" s="3" t="str">
        <x:v>not_applicable</x:v>
      </x:c>
      <x:c r="X90" s="3" t="str">
        <x:v>not_applicable</x:v>
      </x:c>
      <x:c r="Y90" s="3" t="str">
        <x:v>not_applicable</x:v>
      </x:c>
      <x:c r="Z90" s="3" t="str">
        <x:v>not_applicable</x:v>
      </x:c>
      <x:c r="AA90" s="3" t="str">
        <x:v>dr-sp-0031-s1-v1</x:v>
      </x:c>
    </x:row>
    <x:row r="91" ht="60" customHeight="1">
      <x:c r="A91" s="9" t="str">
        <x:v>sp-0031</x:v>
      </x:c>
      <x:c r="B91" s="9" t="str">
        <x:v>S2</x:v>
      </x:c>
      <x:c r="C91" s="12" t="n">
        <x:v>1</x:v>
      </x:c>
      <x:c r="D91" s="12" t="n">
        <x:v>1</x:v>
      </x:c>
      <x:c r="E91" s="12" t="n">
        <x:f>MIN(C91:D91)</x:f>
        <x:v>1</x:v>
      </x:c>
      <x:c r="F91" s="12" t="n">
        <x:f>MAX(C91:D91)</x:f>
        <x:v>1</x:v>
      </x:c>
      <x:c r="G91" s="9" t="str">
        <x:v>missing</x:v>
      </x:c>
      <x:c r="H91" s="12" t="n">
        <x:v>1</x:v>
      </x:c>
      <x:c r="I91" s="12" t="n">
        <x:v>2</x:v>
      </x:c>
      <x:c r="J91" s="9" t="str">
        <x:f>IF(H91=I91,"value","range")</x:f>
        <x:v>range</x:v>
      </x:c>
      <x:c r="K91" s="9" t="str">
        <x:v>low</x:v>
      </x:c>
      <x:c r="L91" s="9" t="str">
        <x:v>insufficient_evidence</x:v>
      </x:c>
      <x:c r="M91" s="9" t="str">
        <x:v>Retain a provisional 1-2 candidate interval pending a concrete connection case.</x:v>
      </x:c>
      <x:c r="N91" s="9" t="str">
        <x:v>fusion-src-031</x:v>
      </x:c>
      <x:c r="O91" s="9" t="str">
        <x:v>A pilot connection study/revision and energized-test log with institutional queue time identified separately.</x:v>
      </x:c>
      <x:c r="P91" s="9" t="str">
        <x:v>false</x:v>
      </x:c>
      <x:c r="Q91" s="9" t="str">
        <x:v>false</x:v>
      </x:c>
      <x:c r="R91" s="9" t="str">
        <x:v>Grid integration</x:v>
      </x:c>
      <x:c r="S91" s="9" t="str">
        <x:v>target_programme_status</x:v>
      </x:c>
      <x:c r="T91" s="9" t="str">
        <x:v>company target</x:v>
      </x:c>
      <x:c r="U91" s="9" t="str">
        <x:v>The relevant loop is study, technical correction and connection/protection testing. Project targets and interconnection queues do not measure that cycle; there is no observed magnetic-confinement export case in the reviewed evidence set.</x:v>
      </x:c>
      <x:c r="V91" s="9" t="str">
        <x:v>Company performance targets cannot support grid feedback timing. No specific network or site is frozen.</x:v>
      </x:c>
      <x:c r="W91" s="9" t="str">
        <x:v>not_applicable</x:v>
      </x:c>
      <x:c r="X91" s="9" t="str">
        <x:v>not_applicable</x:v>
      </x:c>
      <x:c r="Y91" s="9" t="str">
        <x:v>not_applicable</x:v>
      </x:c>
      <x:c r="Z91" s="9" t="str">
        <x:v>not_applicable</x:v>
      </x:c>
      <x:c r="AA91" s="9" t="str">
        <x:v>dr-sp-0031-s2-v1</x:v>
      </x:c>
    </x:row>
    <x:row r="92" ht="60" customHeight="1">
      <x:c r="A92" s="3" t="str">
        <x:v>sp-0031</x:v>
      </x:c>
      <x:c r="B92" s="3" t="str">
        <x:v>S3</x:v>
      </x:c>
      <x:c r="C92" s="13" t="n">
        <x:v>1</x:v>
      </x:c>
      <x:c r="D92" s="13" t="n">
        <x:v>0</x:v>
      </x:c>
      <x:c r="E92" s="13" t="n">
        <x:f>MIN(C92:D92)</x:f>
        <x:v>0</x:v>
      </x:c>
      <x:c r="F92" s="13" t="n">
        <x:f>MAX(C92:D92)</x:f>
        <x:v>1</x:v>
      </x:c>
      <x:c r="G92" s="3" t="str">
        <x:v>needs_better_evidence</x:v>
      </x:c>
      <x:c r="H92" s="13" t="n">
        <x:v>0</x:v>
      </x:c>
      <x:c r="I92" s="13" t="n">
        <x:v>1</x:v>
      </x:c>
      <x:c r="J92" s="3" t="str">
        <x:f>IF(H92=I92,"value","range")</x:f>
        <x:v>range</x:v>
      </x:c>
      <x:c r="K92" s="3" t="str">
        <x:v>low</x:v>
      </x:c>
      <x:c r="L92" s="3" t="str">
        <x:v>requires_pathway_variant</x:v>
      </x:c>
      <x:c r="M92" s="3" t="str">
        <x:v>Preserve the owner-requested 0-1 interval and route greenfield versus reused-site connection scope.</x:v>
      </x:c>
      <x:c r="N92" s="3" t="str">
        <x:v>fusion-src-031</x:v>
      </x:c>
      <x:c r="O92" s="3" t="str">
        <x:v>A costed pilot single-line/connection design identifying reused assets, new works and test access.</x:v>
      </x:c>
      <x:c r="P92" s="3" t="str">
        <x:v>true</x:v>
      </x:c>
      <x:c r="Q92" s="3" t="str">
        <x:v>true</x:v>
      </x:c>
      <x:c r="R92" s="3" t="str">
        <x:v>Grid integration</x:v>
      </x:c>
      <x:c r="S92" s="3" t="str">
        <x:v>target_programme_status</x:v>
      </x:c>
      <x:c r="T92" s="3" t="str">
        <x:v>company target</x:v>
      </x:c>
      <x:c r="U92" s="3" t="str">
        <x:v>Study and protection-setting attempts are relatively cheap and parallel; the physical connection and energized integrated tests consume costly assets and scarce coordinated network access. Site reuse changes the attainable decisive attempt set.</x:v>
      </x:c>
      <x:c r="V92" s="3" t="str">
        <x:v>No canonical fusion-grid cost/throughput record exists; SPARC targets do not resolve one.</x:v>
      </x:c>
      <x:c r="W92" s="3" t="str">
        <x:v>not_applicable</x:v>
      </x:c>
      <x:c r="X92" s="3" t="str">
        <x:v>not_applicable</x:v>
      </x:c>
      <x:c r="Y92" s="3" t="str">
        <x:v>not_applicable</x:v>
      </x:c>
      <x:c r="Z92" s="3" t="str">
        <x:v>not_applicable</x:v>
      </x:c>
      <x:c r="AA92" s="3" t="str">
        <x:v>dr-sp-0031-s3-v1</x:v>
      </x:c>
    </x:row>
    <x:row r="93" ht="60" customHeight="1">
      <x:c r="A93" s="9" t="str">
        <x:v>sp-0031</x:v>
      </x:c>
      <x:c r="B93" s="9" t="str">
        <x:v>S4</x:v>
      </x:c>
      <x:c r="C93" s="12" t="n">
        <x:v>1</x:v>
      </x:c>
      <x:c r="D93" s="12" t="n">
        <x:v>0</x:v>
      </x:c>
      <x:c r="E93" s="12" t="n">
        <x:f>MIN(C93:D93)</x:f>
        <x:v>0</x:v>
      </x:c>
      <x:c r="F93" s="12" t="n">
        <x:f>MAX(C93:D93)</x:f>
        <x:v>1</x:v>
      </x:c>
      <x:c r="G93" s="9" t="str">
        <x:v>needs_better_evidence</x:v>
      </x:c>
      <x:c r="H93" s="12" t="n">
        <x:v>0</x:v>
      </x:c>
      <x:c r="I93" s="12" t="n">
        <x:v>1</x:v>
      </x:c>
      <x:c r="J93" s="9" t="str">
        <x:f>IF(H93=I93,"value","range")</x:f>
        <x:v>range</x:v>
      </x:c>
      <x:c r="K93" s="9" t="str">
        <x:v>low</x:v>
      </x:c>
      <x:c r="L93" s="9" t="str">
        <x:v>requires_pathway_variant</x:v>
      </x:c>
      <x:c r="M93" s="9" t="str">
        <x:v>Preserve the owner 0-1 interval until the physical site/pathway topology is specified.</x:v>
      </x:c>
      <x:c r="N93" s="9" t="str">
        <x:v>missing</x:v>
      </x:c>
      <x:c r="O93" s="9" t="str">
        <x:v>A site-specific engineering plan with installation/energization durations separated from procurement and network scheduling.</x:v>
      </x:c>
      <x:c r="P93" s="9" t="str">
        <x:v>true</x:v>
      </x:c>
      <x:c r="Q93" s="9" t="str">
        <x:v>true</x:v>
      </x:c>
      <x:c r="R93" s="9" t="str">
        <x:v>Grid integration</x:v>
      </x:c>
      <x:c r="S93" s="9" t="str">
        <x:v>absent</x:v>
      </x:c>
      <x:c r="T93" s="9" t="str">
        <x:v>No directly relevant canonical source located</x:v>
      </x:c>
      <x:c r="U93" s="9" t="str">
        <x:v>Switchyard installation, physical connection and energization are intrinsic where new works are required. Network booking, delivery queues and legal outage permissions are not automatically physical floors; reusing a suitable site changes the work required.</x:v>
      </x:c>
      <x:c r="V93" s="9" t="str">
        <x:v>Target-only fusion sources contain no observed export/connection sequence. STEP's failed-refresh restriction is retained and its current target wording is not used as support.</x:v>
      </x:c>
      <x:c r="W93" s="9" t="str">
        <x:v>not_applicable</x:v>
      </x:c>
      <x:c r="X93" s="9" t="str">
        <x:v>not_applicable</x:v>
      </x:c>
      <x:c r="Y93" s="9" t="str">
        <x:v>not_applicable</x:v>
      </x:c>
      <x:c r="Z93" s="9" t="str">
        <x:v>not_applicable</x:v>
      </x:c>
      <x:c r="AA93" s="9" t="str">
        <x:v>dr-sp-0031-s4-v1</x:v>
      </x:c>
    </x:row>
    <x:row r="94" ht="60" customHeight="1">
      <x:c r="A94" s="3" t="str">
        <x:v>sp-0031</x:v>
      </x:c>
      <x:c r="B94" s="3" t="str">
        <x:v>S5</x:v>
      </x:c>
      <x:c r="C94" s="13" t="n">
        <x:v>1</x:v>
      </x:c>
      <x:c r="D94" s="13" t="n">
        <x:v>0</x:v>
      </x:c>
      <x:c r="E94" s="13" t="n">
        <x:f>MIN(C94:D94)</x:f>
        <x:v>0</x:v>
      </x:c>
      <x:c r="F94" s="13" t="n">
        <x:f>MAX(C94:D94)</x:f>
        <x:v>1</x:v>
      </x:c>
      <x:c r="G94" s="3" t="str">
        <x:v>prefer_seed</x:v>
      </x:c>
      <x:c r="H94" s="13" t="n">
        <x:v>1</x:v>
      </x:c>
      <x:c r="I94" s="13" t="n">
        <x:v>1</x:v>
      </x:c>
      <x:c r="J94" s="3" t="str">
        <x:f>IF(H94=I94,"value","range")</x:f>
        <x:v>value</x:v>
      </x:c>
      <x:c r="K94" s="3" t="str">
        <x:v>low</x:v>
      </x:c>
      <x:c r="L94" s="3" t="str">
        <x:v>requires_human_expert</x:v>
      </x:c>
      <x:c r="M94" s="3" t="str">
        <x:v>Support owner 1 provisionally; the actual independent utility/plant boundary requires named review.</x:v>
      </x:c>
      <x:c r="N94" s="3" t="str">
        <x:v>fusion-src-031</x:v>
      </x:c>
      <x:c r="O94" s="3" t="str">
        <x:v>A coordinated protection study, staged energization plan and independently verified isolation boundaries.</x:v>
      </x:c>
      <x:c r="P94" s="3" t="str">
        <x:v>true</x:v>
      </x:c>
      <x:c r="Q94" s="3" t="str">
        <x:v>true</x:v>
      </x:c>
      <x:c r="R94" s="3" t="str">
        <x:v>Grid integration</x:v>
      </x:c>
      <x:c r="S94" s="3" t="str">
        <x:v>target_programme_status</x:v>
      </x:c>
      <x:c r="T94" s="3" t="str">
        <x:v>company target</x:v>
      </x:c>
      <x:c r="U94" s="3" t="str">
        <x:v>Erroneous protection settings or energization can directly damage connected equipment or disturb the network before independent utility protection isolates it. Do not count remote cascades requiring additional independent grid-protection failures.</x:v>
      </x:c>
      <x:c r="V94" s="3" t="str">
        <x:v>No fusion grid-export case or validated pilot protection architecture is in the evidence set.</x:v>
      </x:c>
      <x:c r="W94" s="3" t="str">
        <x:v>Local equipment damage and network disturbance before independent isolation/protection acts.</x:v>
      </x:c>
      <x:c r="X94" s="3" t="str">
        <x:v>Independent utility/plant protection and isolation at the agreed connection boundary.</x:v>
      </x:c>
      <x:c r="Y94" s="3" t="str">
        <x:v>Remote cascading outage or plant harm requiring subsequent independent network/plant protection failures.</x:v>
      </x:c>
      <x:c r="Z94" s="3" t="str">
        <x:v>assumed_not_verified</x:v>
      </x:c>
      <x:c r="AA94" s="3" t="str">
        <x:v>dr-sp-0031-s5-v1</x:v>
      </x:c>
    </x:row>
  </x:sheetData>
  <x:mergeCells>
    <x:mergeCell ref="A1:D1"/>
    <x:mergeCell ref="A2:D2"/>
  </x:mergeCells>
  <x:conditionalFormatting sqref="K5:K94">
    <x:cfRule type="containsText" dxfId="0" priority="1" operator="containsText" text="low"/>
  </x:conditionalFormatting>
  <x:conditionalFormatting sqref="P5:P94">
    <x:cfRule type="containsText" dxfId="1" priority="2" operator="containsText" text="true"/>
  </x:conditionalFormatting>
  <x:pageMargins left="0.7" right="0.7" top="0.75" bottom="0.75" header="0.3" footer="0.3"/>
  <x:tableParts count="1">
    <x:tablePart xmlns:r="http://schemas.openxmlformats.org/officeDocument/2006/relationships" r:id="R95d9885d8d12411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3" hidden="0" customWidth="1"/>
    <x:col min="2" max="2" width="13" hidden="0" customWidth="1"/>
    <x:col min="3" max="3" width="58" hidden="0" customWidth="1"/>
    <x:col min="4" max="4" width="12" hidden="0" customWidth="1"/>
    <x:col min="5" max="5" width="105" hidden="0" customWidth="1"/>
    <x:col min="6" max="6" width="45" hidden="0" customWidth="1"/>
  </x:cols>
  <x:sheetData>
    <x:row r="1" ht="54" customHeight="1">
      <x:c r="A1" s="5" t="str">
        <x:v>Load-bearing gaps</x:v>
      </x:c>
      <x:c r="B1" s="5"/>
      <x:c r="C1" s="5"/>
      <x:c r="D1" s="5"/>
      <x:c r="E1" s="5"/>
      <x:c r="F1" s="5"/>
    </x:row>
    <x:row r="2" ht="43" customHeight="1">
      <x:c r="A2" s="6" t="str">
        <x:v>AI-assisted · recommendation only. Details extend to the right.</x:v>
      </x:c>
      <x:c r="B2" s="6"/>
      <x:c r="C2" s="6"/>
      <x:c r="D2" s="6"/>
      <x:c r="E2" s="6"/>
      <x:c r="F2" s="6"/>
    </x:row>
    <x:row r="3">
      <x:c r="A3" s="3"/>
      <x:c r="B3" s="3"/>
      <x:c r="C3" s="3"/>
      <x:c r="D3" s="3"/>
      <x:c r="E3" s="3"/>
      <x:c r="F3" s="3"/>
    </x:row>
    <x:row r="4" ht="43" customHeight="1">
      <x:c r="A4" s="8" t="str">
        <x:v>Gap ID</x:v>
      </x:c>
      <x:c r="B4" s="8" t="str">
        <x:v>Profile ID</x:v>
      </x:c>
      <x:c r="C4" s="8" t="str">
        <x:v>Empirical outcome still missing</x:v>
      </x:c>
      <x:c r="D4" s="8" t="str">
        <x:v>Status</x:v>
      </x:c>
      <x:c r="E4" s="8" t="str">
        <x:v>Why it remains open</x:v>
      </x:c>
      <x:c r="F4" s="8" t="str">
        <x:v>Canonical context IDs</x:v>
      </x:c>
    </x:row>
    <x:row r="5" ht="44" customHeight="1">
      <x:c r="A5" s="9" t="str">
        <x:v>gap-01</x:v>
      </x:c>
      <x:c r="B5" s="9" t="str">
        <x:v>sp-0016</x:v>
      </x:c>
      <x:c r="C5" s="9" t="str">
        <x:v>experiment-selection cycle reduction</x:v>
      </x:c>
      <x:c r="D5" s="9" t="str">
        <x:v>open</x:v>
      </x:c>
      <x:c r="E5" s="9" t="str">
        <x:v>No elapsed or costly selection-loop reduction study in the canonical set.</x:v>
      </x:c>
      <x:c r="F5" s="9" t="str">
        <x:v>fusion-src-018;fusion-src-019;fusion-src-024</x:v>
      </x:c>
    </x:row>
    <x:row r="6" ht="44" customHeight="1">
      <x:c r="A6" s="3" t="str">
        <x:v>gap-02</x:v>
      </x:c>
      <x:c r="B6" s="3" t="str">
        <x:v>sp-0020</x:v>
      </x:c>
      <x:c r="C6" s="3" t="str">
        <x:v>completed accepted materials qualification</x:v>
      </x:c>
      <x:c r="D6" s="3" t="str">
        <x:v>open</x:v>
      </x:c>
      <x:c r="E6" s="3" t="str">
        <x:v>Planned IFMIF-DONES irradiation plus examination is not completed accepted qualification.</x:v>
      </x:c>
      <x:c r="F6" s="3" t="str">
        <x:v>fusion-src-026;fusion-src-045;fusion-src-046</x:v>
      </x:c>
    </x:row>
    <x:row r="7" ht="44" customHeight="1">
      <x:c r="A7" s="9" t="str">
        <x:v>gap-03</x:v>
      </x:c>
      <x:c r="B7" s="9" t="str">
        <x:v>sp-0023</x:v>
      </x:c>
      <x:c r="C7" s="9" t="str">
        <x:v>combined-environment plasma-facing-component qualification</x:v>
      </x:c>
      <x:c r="D7" s="9" t="str">
        <x:v>open</x:v>
      </x:c>
      <x:c r="E7" s="9" t="str">
        <x:v>No pilot-relevant combined neutron, heat-flux, cycling, erosion and maintainability result.</x:v>
      </x:c>
      <x:c r="F7" s="9" t="str">
        <x:v>fusion-src-023;fusion-src-026;fusion-src-027;fusion-src-045</x:v>
      </x:c>
    </x:row>
    <x:row r="8" ht="42" customHeight="1">
      <x:c r="A8" s="3" t="str">
        <x:v>gap-04</x:v>
      </x:c>
      <x:c r="B8" s="3" t="str">
        <x:v>sp-0024</x:v>
      </x:c>
      <x:c r="C8" s="3" t="str">
        <x:v>integrated self-sufficient tritium/fuel cycle</x:v>
      </x:c>
      <x:c r="D8" s="3" t="str">
        <x:v>open</x:v>
      </x:c>
      <x:c r="E8" s="3" t="str">
        <x:v>No pilot-scale integrated breeder, extraction, processing and inventory closure result.</x:v>
      </x:c>
      <x:c r="F8" s="3" t="str">
        <x:v>fusion-src-028;fusion-src-038</x:v>
      </x:c>
    </x:row>
    <x:row r="9" ht="44" customHeight="1">
      <x:c r="A9" s="9" t="str">
        <x:v>gap-05</x:v>
      </x:c>
      <x:c r="B9" s="9" t="str">
        <x:v>sp-0025</x:v>
      </x:c>
      <x:c r="C9" s="9" t="str">
        <x:v>qualified integrated blanket</x:v>
      </x:c>
      <x:c r="D9" s="9" t="str">
        <x:v>open</x:v>
      </x:c>
      <x:c r="E9" s="9" t="str">
        <x:v>Future TBM tests do not establish qualified power-plant blanket performance.</x:v>
      </x:c>
      <x:c r="F9" s="9" t="str">
        <x:v>fusion-src-028;fusion-src-038;fusion-src-045</x:v>
      </x:c>
    </x:row>
    <x:row r="10" ht="44" customHeight="1">
      <x:c r="A10" s="3" t="str">
        <x:v>gap-06</x:v>
      </x:c>
      <x:c r="B10" s="3" t="str">
        <x:v>sp-0028</x:v>
      </x:c>
      <x:c r="C10" s="3" t="str">
        <x:v>AI-shortened nuclear/tritium commissioning</x:v>
      </x:c>
      <x:c r="D10" s="3" t="str">
        <x:v>open</x:v>
      </x:c>
      <x:c r="E10" s="3" t="str">
        <x:v>Research-device startup and target schedules do not measure this outcome.</x:v>
      </x:c>
      <x:c r="F10" s="3" t="str">
        <x:v>fusion-src-033;fusion-src-034;fusion-src-036</x:v>
      </x:c>
    </x:row>
    <x:row r="11" ht="42" customHeight="1">
      <x:c r="A11" s="9" t="str">
        <x:v>gap-07</x:v>
      </x:c>
      <x:c r="B11" s="9" t="str">
        <x:v>sp-0029</x:v>
      </x:c>
      <x:c r="C11" s="9" t="str">
        <x:v>commercial reliability/availability</x:v>
      </x:c>
      <x:c r="D11" s="9" t="str">
        <x:v>open</x:v>
      </x:c>
      <x:c r="E11" s="9" t="str">
        <x:v>Pulse records do not measure integrated availability, maintenance life or capacity factor.</x:v>
      </x:c>
      <x:c r="F11" s="9" t="str">
        <x:v>fusion-src-011;fusion-src-032</x:v>
      </x:c>
    </x:row>
    <x:row r="12" ht="44" customHeight="1">
      <x:c r="A12" s="3" t="str">
        <x:v>gap-08</x:v>
      </x:c>
      <x:c r="B12" s="3" t="str">
        <x:v>sp-0030</x:v>
      </x:c>
      <x:c r="C12" s="3" t="str">
        <x:v>comparable completed fusion licensing</x:v>
      </x:c>
      <x:c r="D12" s="3" t="str">
        <x:v>open</x:v>
      </x:c>
      <x:c r="E12" s="3" t="str">
        <x:v>Legal status is known; a comparable accepted full safety case and measured review loop are missing.</x:v>
      </x:c>
      <x:c r="F12" s="3" t="str">
        <x:v>fusion-src-004;fusion-src-039;fusion-src-040</x:v>
      </x:c>
    </x:row>
    <x:row r="13" ht="44" customHeight="1">
      <x:c r="A13" s="9" t="str">
        <x:v>gap-09</x:v>
      </x:c>
      <x:c r="B13" s="9" t="str">
        <x:v>sp-0031</x:v>
      </x:c>
      <x:c r="C13" s="9" t="str">
        <x:v>observed fusion grid export</x:v>
      </x:c>
      <x:c r="D13" s="9" t="str">
        <x:v>open</x:v>
      </x:c>
      <x:c r="E13" s="9" t="str">
        <x:v>No observed magnetic-confinement electricity-export and grid-operation case in the reviewed evidence set.</x:v>
      </x:c>
      <x:c r="F13" s="9" t="str">
        <x:v>fusion-src-031</x:v>
      </x:c>
    </x:row>
  </x:sheetData>
  <x:mergeCells>
    <x:mergeCell ref="A1:D1"/>
    <x:mergeCell ref="A2:D2"/>
  </x:mergeCells>
  <x:pageMargins left="0.7" right="0.7" top="0.75" bottom="0.75" header="0.3" footer="0.3"/>
  <x:tableParts count="1">
    <x:tablePart xmlns:r="http://schemas.openxmlformats.org/officeDocument/2006/relationships" r:id="R1f1577532aa2466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3" hidden="0" customWidth="1"/>
    <x:col min="2" max="2" width="11" hidden="0" customWidth="1"/>
    <x:col min="3" max="3" width="17" hidden="0" customWidth="1"/>
    <x:col min="4" max="4" width="20" hidden="0" customWidth="1"/>
    <x:col min="5" max="5" width="106" hidden="0" customWidth="1"/>
    <x:col min="6" max="6" width="99" hidden="0" customWidth="1"/>
    <x:col min="7" max="7" width="38" hidden="0" customWidth="1"/>
  </x:cols>
  <x:sheetData>
    <x:row r="1" ht="54" customHeight="1">
      <x:c r="A1" s="5" t="str">
        <x:v>Variants</x:v>
      </x:c>
      <x:c r="B1" s="5"/>
      <x:c r="C1" s="5"/>
      <x:c r="D1" s="5"/>
      <x:c r="E1" s="5"/>
      <x:c r="F1" s="5"/>
      <x:c r="G1" s="5"/>
    </x:row>
    <x:row r="2" ht="43" customHeight="1">
      <x:c r="A2" s="6" t="str">
        <x:v>AI-assisted · recommendation only. Details extend to the right.</x:v>
      </x:c>
      <x:c r="B2" s="6"/>
      <x:c r="C2" s="6"/>
      <x:c r="D2" s="6"/>
      <x:c r="E2" s="6"/>
      <x:c r="F2" s="6"/>
      <x:c r="G2" s="6"/>
    </x:row>
    <x:row r="3">
      <x:c r="A3" s="3"/>
      <x:c r="B3" s="3"/>
      <x:c r="C3" s="3"/>
      <x:c r="D3" s="3"/>
      <x:c r="E3" s="3"/>
      <x:c r="F3" s="3"/>
      <x:c r="G3" s="3"/>
    </x:row>
    <x:row r="4" ht="43" customHeight="1">
      <x:c r="A4" s="8" t="str">
        <x:v>Profile ID</x:v>
      </x:c>
      <x:c r="B4" s="8" t="str">
        <x:v>Dimension</x:v>
      </x:c>
      <x:c r="C4" s="8" t="str">
        <x:v>Variant type</x:v>
      </x:c>
      <x:c r="D4" s="8" t="str">
        <x:v>Recommended interval</x:v>
      </x:c>
      <x:c r="E4" s="8" t="str">
        <x:v>Scope question for later work</x:v>
      </x:c>
      <x:c r="F4" s="8" t="str">
        <x:v>Technical constraint</x:v>
      </x:c>
      <x:c r="G4" s="8" t="str">
        <x:v>Canonical source IDs</x:v>
      </x:c>
    </x:row>
    <x:row r="5" ht="44" customHeight="1">
      <x:c r="A5" s="9" t="str">
        <x:v>sp-0020</x:v>
      </x:c>
      <x:c r="B5" s="9" t="str">
        <x:v>S3</x:v>
      </x:c>
      <x:c r="C5" s="9" t="str">
        <x:v>pathway</x:v>
      </x:c>
      <x:c r="D5" s="9" t="str">
        <x:v>0-1</x:v>
      </x:c>
      <x:c r="E5" s="9" t="str">
        <x:v>Separate qualification variants by material, spectrum/transmutation match, target damage and accepted examination route; do not pool Eurofer with tungsten/copper.</x:v>
      </x:c>
      <x:c r="F5" s="9" t="str">
        <x:v>The HFTM targets are limited-volume designs. Eurofer versus tungsten/copper matching materially changes what counts as a useful attempt.</x:v>
      </x:c>
      <x:c r="G5" s="9" t="str">
        <x:v>fusion-src-045;fusion-src-046</x:v>
      </x:c>
    </x:row>
    <x:row r="6" ht="44" customHeight="1">
      <x:c r="A6" s="3" t="str">
        <x:v>sp-0021</x:v>
      </x:c>
      <x:c r="B6" s="3" t="str">
        <x:v>S2</x:v>
      </x:c>
      <x:c r="C6" s="3" t="str">
        <x:v>pathway</x:v>
      </x:c>
      <x:c r="D6" s="3" t="str">
        <x:v>1-2</x:v>
      </x:c>
      <x:c r="E6" s="3" t="str">
        <x:v>Separate HTS/LTS conductor and coil test-scale variants when the ordinary prototype learning loop differs; HH70 is not a generic high-field timing baseline.</x:v>
      </x:c>
      <x:c r="F6" s="3" t="str">
        <x:v>Low-field research-device HTS engineering does not establish cycle timing for high-field stressed coils or conventional large-machine magnets.</x:v>
      </x:c>
      <x:c r="G6" s="3" t="str">
        <x:v>fusion-src-014;fusion-src-012</x:v>
      </x:c>
    </x:row>
    <x:row r="7" ht="44" customHeight="1">
      <x:c r="A7" s="9" t="str">
        <x:v>sp-0022</x:v>
      </x:c>
      <x:c r="B7" s="9" t="str">
        <x:v>S2</x:v>
      </x:c>
      <x:c r="C7" s="9" t="str">
        <x:v>pathway</x:v>
      </x:c>
      <x:c r="D7" s="9" t="str">
        <x:v>1-2</x:v>
      </x:c>
      <x:c r="E7" s="9" t="str">
        <x:v>Distinguish RF-source/launcher and neutral-beam development loops where prototype and conditioning requirements differ.</x:v>
      </x:c>
      <x:c r="F7" s="9" t="str">
        <x:v>The reported eight-month DIII-D upgrade is operator reporting; JT-60SA future operations are a target. Neither directly times the frozen development loop.</x:v>
      </x:c>
      <x:c r="G7" s="9" t="str">
        <x:v>fusion-src-029;fusion-src-034</x:v>
      </x:c>
    </x:row>
    <x:row r="8" ht="44" customHeight="1">
      <x:c r="A8" s="3" t="str">
        <x:v>sp-0025</x:v>
      </x:c>
      <x:c r="B8" s="3" t="str">
        <x:v>S4</x:v>
      </x:c>
      <x:c r="C8" s="3" t="str">
        <x:v>pathway</x:v>
      </x:c>
      <x:c r="D8" s="3" t="str">
        <x:v>0-1</x:v>
      </x:c>
      <x:c r="E8" s="3" t="str">
        <x:v>Separate blanket concept and coolant/breeder test routes if they require materially different exposure, conditioning or representative integrated tests.</x:v>
      </x:c>
      <x:c r="F8" s="3" t="str">
        <x:v>Materials irradiation is adjacent to blanket-system development; solid/liquid breeder and coolant/test routes need distinct representativeness arguments.</x:v>
      </x:c>
      <x:c r="G8" s="3" t="str">
        <x:v>fusion-src-038;fusion-src-045</x:v>
      </x:c>
    </x:row>
    <x:row r="9" ht="44" customHeight="1">
      <x:c r="A9" s="9" t="str">
        <x:v>sp-0030</x:v>
      </x:c>
      <x:c r="B9" s="9" t="str">
        <x:v>S2</x:v>
      </x:c>
      <x:c r="C9" s="9" t="str">
        <x:v>jurisdiction</x:v>
      </x:c>
      <x:c r="D9" s="9" t="str">
        <x:v>0-1</x:v>
      </x:c>
      <x:c r="E9" s="9" t="str">
        <x:v>Determine whether US, PRC and other pilot-licensing pathways require separate process stages; keep shared intrinsic scope fixed rather than country-adjusting S values.</x:v>
      </x:c>
      <x:c r="F9" s="9" t="str">
        <x:v>NRC proposed-rule status and enacted PRC authority are distinct. Chinese legal interpretation remains subject to qualified native-language regulatory review.</x:v>
      </x:c>
      <x:c r="G9" s="9" t="str">
        <x:v>fusion-src-039;fusion-src-040;fusion-src-004</x:v>
      </x:c>
    </x:row>
    <x:row r="10" ht="44" customHeight="1">
      <x:c r="A10" s="3" t="str">
        <x:v>sp-0030</x:v>
      </x:c>
      <x:c r="B10" s="3" t="str">
        <x:v>S3</x:v>
      </x:c>
      <x:c r="C10" s="3" t="str">
        <x:v>jurisdiction</x:v>
      </x:c>
      <x:c r="D10" s="3" t="str">
        <x:v>0-1</x:v>
      </x:c>
      <x:c r="E10" s="3" t="str">
        <x:v>Define formal-review attempts and throughput within each applicable licensing regime, separately from parallel application drafting.</x:v>
      </x:c>
      <x:c r="F10" s="3" t="str">
        <x:v>Legal sources establish authority or proposed process, not observed affordability or the number of attainable independent review cycles.</x:v>
      </x:c>
      <x:c r="G10" s="3" t="str">
        <x:v>fusion-src-039;fusion-src-040;fusion-src-004</x:v>
      </x:c>
    </x:row>
    <x:row r="11" ht="44" customHeight="1">
      <x:c r="A11" s="9" t="str">
        <x:v>sp-0031</x:v>
      </x:c>
      <x:c r="B11" s="9" t="str">
        <x:v>S3</x:v>
      </x:c>
      <x:c r="C11" s="9" t="str">
        <x:v>pathway</x:v>
      </x:c>
      <x:c r="D11" s="9" t="str">
        <x:v>0-1</x:v>
      </x:c>
      <x:c r="E11" s="9" t="str">
        <x:v>Distinguish a greenfield connection from technically adequate reused generation-site infrastructure; do not treat a single connection as unlimited study throughput.</x:v>
      </x:c>
      <x:c r="F11" s="9" t="str">
        <x:v>No canonical fusion-grid cost/throughput record exists; SPARC targets do not resolve one.</x:v>
      </x:c>
      <x:c r="G11" s="9" t="str">
        <x:v>fusion-src-031</x:v>
      </x:c>
    </x:row>
    <x:row r="12" ht="44" customHeight="1">
      <x:c r="A12" s="3" t="str">
        <x:v>sp-0031</x:v>
      </x:c>
      <x:c r="B12" s="3" t="str">
        <x:v>S4</x:v>
      </x:c>
      <x:c r="C12" s="3" t="str">
        <x:v>pathway</x:v>
      </x:c>
      <x:c r="D12" s="3" t="str">
        <x:v>0-1</x:v>
      </x:c>
      <x:c r="E12" s="3" t="str">
        <x:v>Specify new switchyard/connection works versus reused infrastructure before assigning a dominant physical floor; jurisdictional queues remain outside S4.</x:v>
      </x:c>
      <x:c r="F12" s="3" t="str">
        <x:v>Target-only fusion sources contain no observed export/connection sequence. STEP's failed-refresh restriction is retained and its current target wording is not used as support.</x:v>
      </x:c>
      <x:c r="G12" s="3" t="str">
        <x:v>missing</x:v>
      </x:c>
    </x:row>
  </x:sheetData>
  <x:mergeCells>
    <x:mergeCell ref="A1:D1"/>
    <x:mergeCell ref="A2:D2"/>
  </x:mergeCells>
  <x:pageMargins left="0.7" right="0.7" top="0.75" bottom="0.75" header="0.3" footer="0.3"/>
  <x:tableParts count="1">
    <x:tablePart xmlns:r="http://schemas.openxmlformats.org/officeDocument/2006/relationships" r:id="R37b54836ea764ec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 hidden="0" customWidth="1"/>
    <x:col min="2" max="2" width="11" hidden="0" customWidth="1"/>
    <x:col min="3" max="3" width="19" hidden="0" customWidth="1"/>
    <x:col min="4" max="4" width="30" hidden="0" customWidth="1"/>
    <x:col min="5" max="5" width="26" hidden="0" customWidth="1"/>
    <x:col min="6" max="6" width="100" hidden="0" customWidth="1"/>
    <x:col min="7" max="7" width="108" hidden="0" customWidth="1"/>
    <x:col min="8" max="8" width="90" hidden="0" customWidth="1"/>
    <x:col min="9" max="9" width="38" hidden="0" customWidth="1"/>
  </x:cols>
  <x:sheetData>
    <x:row r="1" ht="54" customHeight="1">
      <x:c r="A1" s="5" t="str">
        <x:v>Owner exceptions</x:v>
      </x:c>
      <x:c r="B1" s="5"/>
      <x:c r="C1" s="5"/>
      <x:c r="D1" s="5"/>
      <x:c r="E1" s="5"/>
      <x:c r="F1" s="5"/>
      <x:c r="G1" s="5"/>
      <x:c r="H1" s="5"/>
      <x:c r="I1" s="5"/>
    </x:row>
    <x:row r="2" ht="43" customHeight="1">
      <x:c r="A2" s="6" t="str">
        <x:v>AI-assisted · recommendation only. Details extend to the right.</x:v>
      </x:c>
      <x:c r="B2" s="6"/>
      <x:c r="C2" s="6"/>
      <x:c r="D2" s="6"/>
      <x:c r="E2" s="6"/>
      <x:c r="F2" s="6"/>
      <x:c r="G2" s="6"/>
      <x:c r="H2" s="6"/>
      <x:c r="I2" s="6"/>
    </x:row>
    <x:row r="3">
      <x:c r="A3" s="3"/>
      <x:c r="B3" s="3"/>
      <x:c r="C3" s="3"/>
      <x:c r="D3" s="3"/>
      <x:c r="E3" s="3"/>
      <x:c r="F3" s="3"/>
      <x:c r="G3" s="3"/>
      <x:c r="H3" s="3"/>
      <x:c r="I3" s="3"/>
    </x:row>
    <x:row r="4" ht="43" customHeight="1">
      <x:c r="A4" s="8" t="str">
        <x:v>Profile ID</x:v>
      </x:c>
      <x:c r="B4" s="8" t="str">
        <x:v>Dimension</x:v>
      </x:c>
      <x:c r="C4" s="8" t="str">
        <x:v>Recommended interval</x:v>
      </x:c>
      <x:c r="D4" s="8" t="str">
        <x:v>Disposition</x:v>
      </x:c>
      <x:c r="E4" s="8" t="str">
        <x:v>Preserved owner disposition</x:v>
      </x:c>
      <x:c r="F4" s="8" t="str">
        <x:v>Owner rationale (verbatim)</x:v>
      </x:c>
      <x:c r="G4" s="8" t="str">
        <x:v>Question / action</x:v>
      </x:c>
      <x:c r="H4" s="8" t="str">
        <x:v>Reason</x:v>
      </x:c>
      <x:c r="I4" s="8" t="str">
        <x:v>Canonical source IDs</x:v>
      </x:c>
    </x:row>
    <x:row r="5" ht="44" customHeight="1">
      <x:c r="A5" s="9" t="str">
        <x:v>sp-0015</x:v>
      </x:c>
      <x:c r="B5" s="9" t="str">
        <x:v>S5</x:v>
      </x:c>
      <x:c r="C5" s="9" t="str">
        <x:v>3</x:v>
      </x:c>
      <x:c r="D5" s="9" t="str">
        <x:v>recommends_value_change</x:v>
      </x:c>
      <x:c r="E5" s="9" t="str">
        <x:v>missing</x:v>
      </x:c>
      <x:c r="F5" s="9" t="str">
        <x:v>No owner decision recorded.</x:v>
      </x:c>
      <x:c r="G5" s="9" t="str">
        <x:v>Verify the independent model validation and experiment-release gates for the intended use.</x:v>
      </x:c>
      <x:c r="H5" s="9" t="str">
        <x:v>Prefer 3 over seed 4 under the bounded escaped-output rule; this is a later S5 recommendation only.</x:v>
      </x:c>
      <x:c r="I5" s="9" t="str">
        <x:v>fusion-src-022;fusion-src-023</x:v>
      </x:c>
    </x:row>
    <x:row r="6" ht="76" customHeight="1">
      <x:c r="A6" s="3" t="str">
        <x:v>sp-0016</x:v>
      </x:c>
      <x:c r="B6" s="3" t="str">
        <x:v>S2</x:v>
      </x:c>
      <x:c r="C6" s="3" t="str">
        <x:v>1-2</x:v>
      </x:c>
      <x:c r="D6" s="3" t="str">
        <x:v>requires_human_expert</x:v>
      </x:c>
      <x:c r="E6" s="3" t="str">
        <x:v>prefer_seed</x:v>
      </x:c>
      <x:c r="F6" s="3" t="str">
        <x:v>Select S2=1. The document or schedule can be revised quickly, but the ordinary feedback that reveals whether experiment selection was sound depends on scarce device campaigns and can take many months. This is slower than the weeks-to-months midpoint without being intrinsically decade-scale.</x:v>
      </x:c>
      <x:c r="G6" s="3" t="str">
        <x:v>For a representative pilot-relevant tokamak campaign, what is the ordinary selection-to-result-to-revision loop, and does the documented cadence support 1 or 2?</x:v>
      </x:c>
      <x:c r="H6" s="3" t="str">
        <x:v>Recommend 1-2 for later adjudication while asking a campaign specialist to identify the ordinary loop.</x:v>
      </x:c>
      <x:c r="I6" s="3" t="str">
        <x:v>fusion-src-018;fusion-src-019;fusion-src-024</x:v>
      </x:c>
    </x:row>
    <x:row r="7" ht="44" customHeight="1">
      <x:c r="A7" s="9" t="str">
        <x:v>sp-0018</x:v>
      </x:c>
      <x:c r="B7" s="9" t="str">
        <x:v>S5</x:v>
      </x:c>
      <x:c r="C7" s="9" t="str">
        <x:v>0-1</x:v>
      </x:c>
      <x:c r="D7" s="9" t="str">
        <x:v>requires_human_expert</x:v>
      </x:c>
      <x:c r="E7" s="9" t="str">
        <x:v>missing</x:v>
      </x:c>
      <x:c r="F7" s="9" t="str">
        <x:v>No owner decision recorded.</x:v>
      </x:c>
      <x:c r="G7" s="9" t="str">
        <x:v>At the pilot-relevant stored-energy and disruption envelope, what damage can an erroneous control output cause before independently verified machine protection acts?</x:v>
      </x:c>
      <x:c r="H7" s="9" t="str">
        <x:v>Keep 1 as plausible for bounded research-device harm, but retain 0 as a severe direct-consequence possibility pending protection review.</x:v>
      </x:c>
      <x:c r="I7" s="9" t="str">
        <x:v>fusion-src-018;fusion-src-008;fusion-src-020</x:v>
      </x:c>
    </x:row>
    <x:row r="8" ht="44" customHeight="1">
      <x:c r="A8" s="3" t="str">
        <x:v>sp-0020</x:v>
      </x:c>
      <x:c r="B8" s="3" t="str">
        <x:v>S1</x:v>
      </x:c>
      <x:c r="C8" s="3" t="str">
        <x:v>0</x:v>
      </x:c>
      <x:c r="D8" s="3" t="str">
        <x:v>recommends_value_change</x:v>
      </x:c>
      <x:c r="E8" s="3" t="str">
        <x:v>missing</x:v>
      </x:c>
      <x:c r="F8" s="3" t="str">
        <x:v>No owner decision recorded.</x:v>
      </x:c>
      <x:c r="G8" s="3" t="str">
        <x:v>Revisit if an accepted qualification route can materially replace representative exposure with validated analytical evidence.</x:v>
      </x:c>
      <x:c r="H8" s="3" t="str">
        <x:v>Prefer independent 0 over seed 1 because the rubric says primarily physical, not exclusively physical.</x:v>
      </x:c>
      <x:c r="I8" s="3" t="str">
        <x:v>fusion-src-045;fusion-src-046</x:v>
      </x:c>
    </x:row>
    <x:row r="9" ht="60" customHeight="1">
      <x:c r="A9" s="9" t="str">
        <x:v>sp-0020</x:v>
      </x:c>
      <x:c r="B9" s="9" t="str">
        <x:v>S2</x:v>
      </x:c>
      <x:c r="C9" s="9" t="str">
        <x:v>0</x:v>
      </x:c>
      <x:c r="D9" s="9" t="str">
        <x:v>supports_current_record</x:v>
      </x:c>
      <x:c r="E9" s="9" t="str">
        <x:v>needs_better_evidence</x:v>
      </x:c>
      <x:c r="F9" s="9" t="str">
        <x:v>Retain provisional S2=0 because both coders agree and the fusion evidence base points to multi-year irradiation and post-irradiation examination. Do not promote the value until qualification-facility and exposure-time sources are verified and assigned canonical source IDs.</x:v>
      </x:c>
      <x:c r="G9" s="9" t="str">
        <x:v>Completion of representative irradiation and examination with a documented acceptance route, or a validated alternative qualification protocol.</x:v>
      </x:c>
      <x:c r="H9" s="9" t="str">
        <x:v>Support the owner provisional 0 on improved source identity and technical grounds; completed accepted qualification remains missing.</x:v>
      </x:c>
      <x:c r="I9" s="9" t="str">
        <x:v>fusion-src-045;fusion-src-046</x:v>
      </x:c>
    </x:row>
    <x:row r="10" ht="44" customHeight="1">
      <x:c r="A10" s="3" t="str">
        <x:v>sp-0020</x:v>
      </x:c>
      <x:c r="B10" s="3" t="str">
        <x:v>S3</x:v>
      </x:c>
      <x:c r="C10" s="3" t="str">
        <x:v>0-1</x:v>
      </x:c>
      <x:c r="D10" s="3" t="str">
        <x:v>requires_pathway_variant</x:v>
      </x:c>
      <x:c r="E10" s="3" t="str">
        <x:v>missing</x:v>
      </x:c>
      <x:c r="F10" s="3" t="str">
        <x:v>No owner decision recorded.</x:v>
      </x:c>
      <x:c r="G10" s="3" t="str">
        <x:v>Which material and pilot load envelope can the planned IFMIF-DONES specimen matrix represent, and how do spectrum/transmutation mismatch and accepted examinations limit useful parallel throughput?</x:v>
      </x:c>
      <x:c r="H10" s="3" t="str">
        <x:v>Preserve 0-1 and route by material/load-envelope qualification pathway rather than claiming zero parallelism.</x:v>
      </x:c>
      <x:c r="I10" s="3" t="str">
        <x:v>fusion-src-045;fusion-src-046</x:v>
      </x:c>
    </x:row>
    <x:row r="11" ht="60" customHeight="1">
      <x:c r="A11" s="9" t="str">
        <x:v>sp-0020</x:v>
      </x:c>
      <x:c r="B11" s="9" t="str">
        <x:v>S4</x:v>
      </x:c>
      <x:c r="C11" s="9" t="str">
        <x:v>0</x:v>
      </x:c>
      <x:c r="D11" s="9" t="str">
        <x:v>supports_current_record</x:v>
      </x:c>
      <x:c r="E11" s="9" t="str">
        <x:v>needs_better_evidence</x:v>
      </x:c>
      <x:c r="F11" s="9" t="str">
        <x:v>Retain provisional S4=0 because neutron exposure, damage accumulation, cooling and post-irradiation examination are genuine physical time floors. The value is substantively well supported but cannot advance while the row has no canonical source IDs.</x:v>
      </x:c>
      <x:c r="G11" s="9" t="str">
        <x:v>A validated acceleration/qualification equivalence or accepted exposure-plus-examination dataset for the specified material.</x:v>
      </x:c>
      <x:c r="H11" s="9" t="str">
        <x:v>Support owner provisional 0 while preserving the missing accepted dataset.</x:v>
      </x:c>
      <x:c r="I11" s="9" t="str">
        <x:v>fusion-src-045;fusion-src-046;fusion-src-026</x:v>
      </x:c>
    </x:row>
    <x:row r="12" ht="44" customHeight="1">
      <x:c r="A12" s="3" t="str">
        <x:v>sp-0020</x:v>
      </x:c>
      <x:c r="B12" s="3" t="str">
        <x:v>S5</x:v>
      </x:c>
      <x:c r="C12" s="3" t="str">
        <x:v>0-1</x:v>
      </x:c>
      <x:c r="D12" s="3" t="str">
        <x:v>requires_human_expert</x:v>
      </x:c>
      <x:c r="E12" s="3" t="str">
        <x:v>missing</x:v>
      </x:c>
      <x:c r="F12" s="3" t="str">
        <x:v>No owner decision recorded.</x:v>
      </x:c>
      <x:c r="G12" s="3" t="str">
        <x:v>Which losses from an invalid irradiation or examination programme are irreversible before independent component/material acceptance, and what qualification claims can escape that boundary?</x:v>
      </x:c>
      <x:c r="H12" s="3" t="str">
        <x:v>A bounded 0-1 requires a qualification specialist to distinguish direct irreversible evidence loss from later independent acceptance failures.</x:v>
      </x:c>
      <x:c r="I12" s="3" t="str">
        <x:v>fusion-src-045;fusion-src-046</x:v>
      </x:c>
    </x:row>
    <x:row r="13" ht="44" customHeight="1">
      <x:c r="A13" s="9" t="str">
        <x:v>sp-0021</x:v>
      </x:c>
      <x:c r="B13" s="9" t="str">
        <x:v>S2</x:v>
      </x:c>
      <x:c r="C13" s="9" t="str">
        <x:v>1-2</x:v>
      </x:c>
      <x:c r="D13" s="9" t="str">
        <x:v>requires_pathway_variant</x:v>
      </x:c>
      <x:c r="E13" s="9" t="str">
        <x:v>missing</x:v>
      </x:c>
      <x:c r="F13" s="9" t="str">
        <x:v>No owner decision recorded.</x:v>
      </x:c>
      <x:c r="G13" s="9" t="str">
        <x:v>Separate HTS/LTS conductor and coil test-scale variants when the ordinary prototype learning loop differs; HH70 is not a generic high-field timing baseline.</x:v>
      </x:c>
      <x:c r="H13" s="9" t="str">
        <x:v>Route 1-2 by magnet technology and test scale instead of treating the shared 1 as measured.</x:v>
      </x:c>
      <x:c r="I13" s="9" t="str">
        <x:v>fusion-src-014;fusion-src-012</x:v>
      </x:c>
    </x:row>
    <x:row r="14" ht="44" customHeight="1">
      <x:c r="A14" s="3" t="str">
        <x:v>sp-0022</x:v>
      </x:c>
      <x:c r="B14" s="3" t="str">
        <x:v>S2</x:v>
      </x:c>
      <x:c r="C14" s="3" t="str">
        <x:v>1-2</x:v>
      </x:c>
      <x:c r="D14" s="3" t="str">
        <x:v>requires_pathway_variant</x:v>
      </x:c>
      <x:c r="E14" s="3" t="str">
        <x:v>missing</x:v>
      </x:c>
      <x:c r="F14" s="3" t="str">
        <x:v>No owner decision recorded.</x:v>
      </x:c>
      <x:c r="G14" s="3" t="str">
        <x:v>Distinguish RF-source/launcher and neutral-beam development loops where prototype and conditioning requirements differ.</x:v>
      </x:c>
      <x:c r="H14" s="3" t="str">
        <x:v>Preserve 1-2 and request a route-specific cycle rather than selecting from adjacent project durations.</x:v>
      </x:c>
      <x:c r="I14" s="3" t="str">
        <x:v>fusion-src-029;fusion-src-034</x:v>
      </x:c>
    </x:row>
    <x:row r="15" ht="44" customHeight="1">
      <x:c r="A15" s="9" t="str">
        <x:v>sp-0023</x:v>
      </x:c>
      <x:c r="B15" s="9" t="str">
        <x:v>S4</x:v>
      </x:c>
      <x:c r="C15" s="9" t="str">
        <x:v>0-1</x:v>
      </x:c>
      <x:c r="D15" s="9" t="str">
        <x:v>requires_human_expert</x:v>
      </x:c>
      <x:c r="E15" s="9" t="str">
        <x:v>missing</x:v>
      </x:c>
      <x:c r="F15" s="9" t="str">
        <x:v>No owner decision recorded.</x:v>
      </x:c>
      <x:c r="G15" s="9" t="str">
        <x:v>Which neutron, heat-flux, thermal-cycling, erosion and maintainability exposures must occur inside the frozen PFC development stage, and can sequential tests represent their combined effects?</x:v>
      </x:c>
      <x:c r="H15" s="9" t="str">
        <x:v>A specialist must establish which physical floors belong inside pre-integration development before narrowing 0-1.</x:v>
      </x:c>
      <x:c r="I15" s="9" t="str">
        <x:v>fusion-src-026;fusion-src-045</x:v>
      </x:c>
    </x:row>
    <x:row r="16" ht="44" customHeight="1">
      <x:c r="A16" s="3" t="str">
        <x:v>sp-0023</x:v>
      </x:c>
      <x:c r="B16" s="3" t="str">
        <x:v>S5</x:v>
      </x:c>
      <x:c r="C16" s="3" t="str">
        <x:v>1-2</x:v>
      </x:c>
      <x:c r="D16" s="3" t="str">
        <x:v>requires_human_expert</x:v>
      </x:c>
      <x:c r="E16" s="3" t="str">
        <x:v>missing</x:v>
      </x:c>
      <x:c r="F16" s="3" t="str">
        <x:v>No owner decision recorded.</x:v>
      </x:c>
      <x:c r="G16" s="3" t="str">
        <x:v>What can an erroneous PFC development test or acceptance claim damage before the next independent acceptance/protection boundary, excluding failures discovered by a correctly conducted test?</x:v>
      </x:c>
      <x:c r="H16" s="3" t="str">
        <x:v>Preserve 1-2; the seed excludes all escaped harm, while the independent rationale may import later plasma operation.</x:v>
      </x:c>
      <x:c r="I16" s="3" t="str">
        <x:v>fusion-src-026</x:v>
      </x:c>
    </x:row>
    <x:row r="17" ht="44" customHeight="1">
      <x:c r="A17" s="9" t="str">
        <x:v>sp-0024</x:v>
      </x:c>
      <x:c r="B17" s="9" t="str">
        <x:v>S4</x:v>
      </x:c>
      <x:c r="C17" s="9" t="str">
        <x:v>1-2</x:v>
      </x:c>
      <x:c r="D17" s="9" t="str">
        <x:v>requires_human_expert</x:v>
      </x:c>
      <x:c r="E17" s="9" t="str">
        <x:v>missing</x:v>
      </x:c>
      <x:c r="F17" s="9" t="str">
        <x:v>No owner decision recorded.</x:v>
      </x:c>
      <x:c r="G17" s="9" t="str">
        <x:v>For the intended fuel-cycle subsystem tests, which retention, permeation, equilibration or residence processes impose irreducible duration, separately from authorization and facility-access delays?</x:v>
      </x:c>
      <x:c r="H17" s="9" t="str">
        <x:v>1-2 requires a fuel-cycle specialist to separate intrinsic processes from access delay and later integrated operation.</x:v>
      </x:c>
      <x:c r="I17" s="9" t="str">
        <x:v>fusion-src-038;fusion-src-028</x:v>
      </x:c>
    </x:row>
    <x:row r="18" ht="76" customHeight="1">
      <x:c r="A18" s="3" t="str">
        <x:v>sp-0024</x:v>
      </x:c>
      <x:c r="B18" s="3" t="str">
        <x:v>S5</x:v>
      </x:c>
      <x:c r="C18" s="3" t="str">
        <x:v>1</x:v>
      </x:c>
      <x:c r="D18" s="3" t="str">
        <x:v>requires_human_expert</x:v>
      </x:c>
      <x:c r="E18" s="3" t="str">
        <x:v>prefer_seed</x:v>
      </x:c>
      <x:c r="F18" s="3" t="str">
        <x:v>Select S5=1. Tritium-accountancy, containment or release errors can have serious radiological and regulatory consequences, but development-stage work is conducted through layered containment and many errors remain detectable and recoverable. S5=0 overgeneralizes the worst case to every error.</x:v>
      </x:c>
      <x:c r="G18" s="3" t="str">
        <x:v>What tritium inventory loss or release is reasonably foreseeable before independently verified secondary confinement and accountancy controls act in this development scope?</x:v>
      </x:c>
      <x:c r="H18" s="3" t="str">
        <x:v>Owner 1 is technically plausible but needs a named specialist to substantiate the boundary before approval.</x:v>
      </x:c>
      <x:c r="I18" s="3" t="str">
        <x:v>fusion-src-038;fusion-src-028</x:v>
      </x:c>
    </x:row>
    <x:row r="19" ht="60" customHeight="1">
      <x:c r="A19" s="9" t="str">
        <x:v>sp-0025</x:v>
      </x:c>
      <x:c r="B19" s="9" t="str">
        <x:v>S2</x:v>
      </x:c>
      <x:c r="C19" s="9" t="str">
        <x:v>0-1</x:v>
      </x:c>
      <x:c r="D19" s="9" t="str">
        <x:v>requires_human_expert</x:v>
      </x:c>
      <x:c r="E19" s="9" t="str">
        <x:v>prefer_seed</x:v>
      </x:c>
      <x:c r="F19" s="9" t="str">
        <x:v>Select S2=0. The decision-relevant loop is integrated blanket and tritium-breeding validation in a fusion-relevant neutron environment. That loop is measured in years and is not yet available at power-plant scale; faster analysis and subcomponent tests do not close it.</x:v>
      </x:c>
      <x:c r="G19" s="9" t="str">
        <x:v>For the specified blanket concept, does each decision-relevant development revision require integrated fusion-environment validation, or can representative subcomponent tests close an ordinary revision?</x:v>
      </x:c>
      <x:c r="H19" s="9" t="str">
        <x:v>Preserve owner 0 and recommend 0-1 pending a named specialist's definition of the decisive development test.</x:v>
      </x:c>
      <x:c r="I19" s="9" t="str">
        <x:v>fusion-src-038;fusion-src-028</x:v>
      </x:c>
    </x:row>
    <x:row r="20" ht="44" customHeight="1">
      <x:c r="A20" s="3" t="str">
        <x:v>sp-0025</x:v>
      </x:c>
      <x:c r="B20" s="3" t="str">
        <x:v>S4</x:v>
      </x:c>
      <x:c r="C20" s="3" t="str">
        <x:v>0-1</x:v>
      </x:c>
      <x:c r="D20" s="3" t="str">
        <x:v>requires_pathway_variant</x:v>
      </x:c>
      <x:c r="E20" s="3" t="str">
        <x:v>missing</x:v>
      </x:c>
      <x:c r="F20" s="3" t="str">
        <x:v>No owner decision recorded.</x:v>
      </x:c>
      <x:c r="G20" s="3" t="str">
        <x:v>Separate blanket concept and coolant/breeder test routes if they require materially different exposure, conditioning or representative integrated tests.</x:v>
      </x:c>
      <x:c r="H20" s="3" t="str">
        <x:v>0-1 should be scoped by blanket concept rather than inherited from one generic unavailable test environment.</x:v>
      </x:c>
      <x:c r="I20" s="3" t="str">
        <x:v>fusion-src-038;fusion-src-045</x:v>
      </x:c>
    </x:row>
    <x:row r="21" ht="76" customHeight="1">
      <x:c r="A21" s="9" t="str">
        <x:v>sp-0025</x:v>
      </x:c>
      <x:c r="B21" s="9" t="str">
        <x:v>S5</x:v>
      </x:c>
      <x:c r="C21" s="9" t="str">
        <x:v>1</x:v>
      </x:c>
      <x:c r="D21" s="9" t="str">
        <x:v>requires_human_expert</x:v>
      </x:c>
      <x:c r="E21" s="9" t="str">
        <x:v>prefer_seed</x:v>
      </x:c>
      <x:c r="F21" s="9" t="str">
        <x:v>Select S5=1. Blanket errors can affect heat removal, tritium functions and radiological safety, but the scoped stage is design, testing and pre-integration, where staged experiments and review contain many failures. The consequences are very serious without making every error catastrophic or irreversible.</x:v>
      </x:c>
      <x:c r="G21" s="9" t="str">
        <x:v>For that blanket concept, which erroneous development outputs can cause direct chemical, radiological or equipment harm before independent test isolation and integration acceptance?</x:v>
      </x:c>
      <x:c r="H21" s="9" t="str">
        <x:v>Support owner 1 as a provisional recommendation with a specialist gate, not automatic worst-case 0.</x:v>
      </x:c>
      <x:c r="I21" s="9" t="str">
        <x:v>fusion-src-038;fusion-src-028</x:v>
      </x:c>
    </x:row>
    <x:row r="22" ht="44" customHeight="1">
      <x:c r="A22" s="3" t="str">
        <x:v>sp-0026</x:v>
      </x:c>
      <x:c r="B22" s="3" t="str">
        <x:v>S1</x:v>
      </x:c>
      <x:c r="C22" s="3" t="str">
        <x:v>0</x:v>
      </x:c>
      <x:c r="D22" s="3" t="str">
        <x:v>recommends_value_change</x:v>
      </x:c>
      <x:c r="E22" s="3" t="str">
        <x:v>missing</x:v>
      </x:c>
      <x:c r="F22" s="3" t="str">
        <x:v>No owner decision recorded.</x:v>
      </x:c>
      <x:c r="G22" s="3" t="str">
        <x:v>Revisit if the frozen scope changes from fabrication to process design or an evidence-backed route changes how production occurs.</x:v>
      </x:c>
      <x:c r="H22" s="3" t="str">
        <x:v>Prefer independent 0 over seed 1 under the rubric's primarily physical definition.</x:v>
      </x:c>
      <x:c r="I22" s="3" t="str">
        <x:v>fusion-src-014;fusion-src-037</x:v>
      </x:c>
    </x:row>
    <x:row r="23" ht="44" customHeight="1">
      <x:c r="A23" s="9" t="str">
        <x:v>sp-0027</x:v>
      </x:c>
      <x:c r="B23" s="9" t="str">
        <x:v>S2</x:v>
      </x:c>
      <x:c r="C23" s="9" t="str">
        <x:v>1</x:v>
      </x:c>
      <x:c r="D23" s="9" t="str">
        <x:v>recommends_value_change</x:v>
      </x:c>
      <x:c r="E23" s="9" t="str">
        <x:v>missing</x:v>
      </x:c>
      <x:c r="F23" s="9" t="str">
        <x:v>No owner decision recorded.</x:v>
      </x:c>
      <x:c r="G23" s="9" t="str">
        <x:v>Revisit if a different construction learning unit is frozen, or if reviewed work-package/module cycle data support a materially different ordinary loop.</x:v>
      </x:c>
      <x:c r="H23" s="9" t="str">
        <x:v>Recommend 1 over both preserved coder values at 0 because the repeated work-package loop, rather than total facility duration, is the V1 S2 unit.</x:v>
      </x:c>
      <x:c r="I23" s="9" t="str">
        <x:v>fusion-src-037;fusion-src-036</x:v>
      </x:c>
    </x:row>
    <x:row r="24" ht="76" customHeight="1">
      <x:c r="A24" s="3" t="str">
        <x:v>sp-0028</x:v>
      </x:c>
      <x:c r="B24" s="3" t="str">
        <x:v>S5</x:v>
      </x:c>
      <x:c r="C24" s="3" t="str">
        <x:v>1</x:v>
      </x:c>
      <x:c r="D24" s="3" t="str">
        <x:v>requires_human_expert</x:v>
      </x:c>
      <x:c r="E24" s="3" t="str">
        <x:v>prefer_seed</x:v>
      </x:c>
      <x:c r="F24" s="3" t="str">
        <x:v>Select S5=1. Commissioning mistakes can damage unique installed hardware and create serious hazards, yet commissioning is deliberately staged, interlocked and reversible where practicable. The stage is low-tolerance, but S5=0 treats the severe tail as the ordinary error consequence.</x:v>
      </x:c>
      <x:c r="G24" s="3" t="str">
        <x:v>During pilot nuclear/tritium commissioning, what direct harm from an erroneous startup or interface check can occur before independently verified interlocks and readiness hold points act?</x:v>
      </x:c>
      <x:c r="H24" s="3" t="str">
        <x:v>Support owner 1 provisionally; obtain named expertise before canonical/public approval of this boundary.</x:v>
      </x:c>
      <x:c r="I24" s="3" t="str">
        <x:v>fusion-src-033;fusion-src-034;fusion-src-036</x:v>
      </x:c>
    </x:row>
    <x:row r="25" ht="44" customHeight="1">
      <x:c r="A25" s="9" t="str">
        <x:v>sp-0029</x:v>
      </x:c>
      <x:c r="B25" s="9" t="str">
        <x:v>S2</x:v>
      </x:c>
      <x:c r="C25" s="9" t="str">
        <x:v>0-1</x:v>
      </x:c>
      <x:c r="D25" s="9" t="str">
        <x:v>requires_human_expert</x:v>
      </x:c>
      <x:c r="E25" s="9" t="str">
        <x:v>missing</x:v>
      </x:c>
      <x:c r="F25" s="9" t="str">
        <x:v>No owner decision recorded.</x:v>
      </x:c>
      <x:c r="G25" s="9" t="str">
        <x:v>What specific pilot reliability or availability claim, exposure requirement and failure/repair criterion defines completion, and what ordinary learn-demonstrate-revise interval follows?</x:v>
      </x:c>
      <x:c r="H25" s="9" t="str">
        <x:v>Keep a slow 0-1 candidate interval but do not assume the shared 0 proves a years-long statistical target.</x:v>
      </x:c>
      <x:c r="I25" s="9" t="str">
        <x:v>fusion-src-011;fusion-src-032</x:v>
      </x:c>
    </x:row>
    <x:row r="26" ht="76" customHeight="1">
      <x:c r="A26" s="3" t="str">
        <x:v>sp-0029</x:v>
      </x:c>
      <x:c r="B26" s="3" t="str">
        <x:v>S5</x:v>
      </x:c>
      <x:c r="C26" s="3" t="str">
        <x:v>1</x:v>
      </x:c>
      <x:c r="D26" s="3" t="str">
        <x:v>requires_human_expert</x:v>
      </x:c>
      <x:c r="E26" s="3" t="str">
        <x:v>prefer_seed</x:v>
      </x:c>
      <x:c r="F26" s="3" t="str">
        <x:v>Select S5=1. Component failures are the phenomenon reliability demonstration is designed to reveal and should not automatically be treated as errors by the stage. Errors in test conduct or inference can still waste irreplaceable operating time, so the stage remains low-tolerance rather than catastrophic by definition.</x:v>
      </x:c>
      <x:c r="G26" s="3" t="str">
        <x:v>Which errors in reliability-test conduct or inference can escape to cause harm before independent machine protection and readiness acceptance, distinct from component failures the test is meant to reveal?</x:v>
      </x:c>
      <x:c r="H26" s="3" t="str">
        <x:v>Support owner 1 provisionally with an explicit distinction between informative failure and erroneous assurance.</x:v>
      </x:c>
      <x:c r="I26" s="3" t="str">
        <x:v>missing</x:v>
      </x:c>
    </x:row>
    <x:row r="27" ht="76" customHeight="1">
      <x:c r="A27" s="9" t="str">
        <x:v>sp-0030</x:v>
      </x:c>
      <x:c r="B27" s="9" t="str">
        <x:v>S2</x:v>
      </x:c>
      <x:c r="C27" s="9" t="str">
        <x:v>0-1</x:v>
      </x:c>
      <x:c r="D27" s="9" t="str">
        <x:v>requires_jurisdiction_variant</x:v>
      </x:c>
      <x:c r="E27" s="9" t="str">
        <x:v>needs_domain_review</x:v>
      </x:c>
      <x:c r="F27" s="9" t="str">
        <x:v>Do not select 0 or 1 yet. Licensing feedback speed is jurisdiction- and pathway-dependent, and the frozen row names no jurisdiction. A fusion-regulatory reviewer should determine whether a shared profile is defensible or whether U.S., Chinese and other licensing variants are required.</x:v>
      </x:c>
      <x:c r="G27" s="9" t="str">
        <x:v>Which jurisdiction-specific application, review and response stages define the ordinary fusion pilot licensing loop, and is any shared 0-1 recommendation defensible without a completed comparable case?</x:v>
      </x:c>
      <x:c r="H27" s="9" t="str">
        <x:v>Carry 0-1 as an unadjudicated candidate range, not an empirical bound; do not select either owner-withheld value without a jurisdiction.</x:v>
      </x:c>
      <x:c r="I27" s="9" t="str">
        <x:v>fusion-src-039;fusion-src-040;fusion-src-004</x:v>
      </x:c>
    </x:row>
    <x:row r="28" ht="60" customHeight="1">
      <x:c r="A28" s="3" t="str">
        <x:v>sp-0030</x:v>
      </x:c>
      <x:c r="B28" s="3" t="str">
        <x:v>S3</x:v>
      </x:c>
      <x:c r="C28" s="3" t="str">
        <x:v>0-1</x:v>
      </x:c>
      <x:c r="D28" s="3" t="str">
        <x:v>requires_jurisdiction_variant</x:v>
      </x:c>
      <x:c r="E28" s="3" t="str">
        <x:v>needs_domain_review</x:v>
      </x:c>
      <x:c r="F28" s="3" t="str">
        <x:v>Do not select 0 or 1 yet. Application drafting can be parallel and repeatable, while formal review cycles are scarce and serial; the balance depends strongly on the licensing regime. Resolve together with the jurisdiction-specific licensing scope.</x:v>
      </x:c>
      <x:c r="G28" s="3" t="str">
        <x:v>For that licensing regime, what counts as a formal attempt, what does it cost, and which parts of application preparation and substantive review can proceed in parallel?</x:v>
      </x:c>
      <x:c r="H28" s="3" t="str">
        <x:v>Preserve 0-1 pending a jurisdiction-specific attempt definition, respecting the unresolved owner disposition.</x:v>
      </x:c>
      <x:c r="I28" s="3" t="str">
        <x:v>fusion-src-039;fusion-src-040;fusion-src-004</x:v>
      </x:c>
    </x:row>
    <x:row r="29" ht="76" customHeight="1">
      <x:c r="A29" s="9" t="str">
        <x:v>sp-0030</x:v>
      </x:c>
      <x:c r="B29" s="9" t="str">
        <x:v>S5</x:v>
      </x:c>
      <x:c r="C29" s="9" t="str">
        <x:v>0-2</x:v>
      </x:c>
      <x:c r="D29" s="9" t="str">
        <x:v>requires_human_expert</x:v>
      </x:c>
      <x:c r="E29" s="9" t="str">
        <x:v>preserve_disagreement</x:v>
      </x:c>
      <x:c r="F29" s="9" t="str">
        <x:v>Preserve the 0-2 disagreement pending the S5 clarification and regulatory domain review. An erroneous approval can have grave downstream consequences, so S5=2 is too permissive; however, harm also requires operation and additional conditions, so S5=0 is too absolute. A later adjudicated value may be 1, but it should not be manufactured from two model submissions.</x:v>
      </x:c>
      <x:c r="G29" s="9" t="str">
        <x:v>What direct consequence can an erroneous fusion pilot licence or safety-case acceptance cause before the next genuinely independent operating authorization or technical control in that jurisdiction?</x:v>
      </x:c>
      <x:c r="H29" s="9" t="str">
        <x:v>Preserve the owner's 0-2 disagreement; do not manufacture 1 from two model marks.</x:v>
      </x:c>
      <x:c r="I29" s="9" t="str">
        <x:v>fusion-src-039;fusion-src-040;fusion-src-004</x:v>
      </x:c>
    </x:row>
    <x:row r="30" ht="60" customHeight="1">
      <x:c r="A30" s="3" t="str">
        <x:v>sp-0031</x:v>
      </x:c>
      <x:c r="B30" s="3" t="str">
        <x:v>S3</x:v>
      </x:c>
      <x:c r="C30" s="3" t="str">
        <x:v>0-1</x:v>
      </x:c>
      <x:c r="D30" s="3" t="str">
        <x:v>requires_pathway_variant</x:v>
      </x:c>
      <x:c r="E30" s="3" t="str">
        <x:v>needs_better_evidence</x:v>
      </x:c>
      <x:c r="F30" s="3" t="str">
        <x:v>Preserve the 0-1 range. A pilot connection combines cheap study iterations with one scarce physical connection and energized test sequence. No directly comparable fusion-grid case exists, and site reuse, network strength and outage rules can change the topology.</x:v>
      </x:c>
      <x:c r="G30" s="3" t="str">
        <x:v>For a concrete pilot site, which connection assets are reused or new, and what are the marginal cost and attainable repetition of studies versus energized integrated tests?</x:v>
      </x:c>
      <x:c r="H30" s="3" t="str">
        <x:v>Preserve the owner-requested 0-1 interval and route greenfield versus reused-site connection scope.</x:v>
      </x:c>
      <x:c r="I30" s="3" t="str">
        <x:v>fusion-src-031</x:v>
      </x:c>
    </x:row>
    <x:row r="31" ht="60" customHeight="1">
      <x:c r="A31" s="9" t="str">
        <x:v>sp-0031</x:v>
      </x:c>
      <x:c r="B31" s="9" t="str">
        <x:v>S4</x:v>
      </x:c>
      <x:c r="C31" s="9" t="str">
        <x:v>0-1</x:v>
      </x:c>
      <x:c r="D31" s="9" t="str">
        <x:v>requires_pathway_variant</x:v>
      </x:c>
      <x:c r="E31" s="9" t="str">
        <x:v>needs_better_evidence</x:v>
      </x:c>
      <x:c r="F31" s="9" t="str">
        <x:v>Preserve the 0-1 range. Equipment delivery, switchyard work, outage windows and energization impose physical floors, but an existing power-plant site may reuse substantial infrastructure. The generic row is too underspecified for a single value without a site/pathway case.</x:v>
      </x:c>
      <x:c r="G31" s="9" t="str">
        <x:v>Which physical installation, connection and energization steps are unavoidable at that site, separately from equipment procurement queues, outage booking and regulatory waits?</x:v>
      </x:c>
      <x:c r="H31" s="9" t="str">
        <x:v>Preserve the owner 0-1 interval until the physical site/pathway topology is specified.</x:v>
      </x:c>
      <x:c r="I31" s="9" t="str">
        <x:v>missing</x:v>
      </x:c>
    </x:row>
    <x:row r="32" ht="76" customHeight="1">
      <x:c r="A32" s="3" t="str">
        <x:v>sp-0031</x:v>
      </x:c>
      <x:c r="B32" s="3" t="str">
        <x:v>S5</x:v>
      </x:c>
      <x:c r="C32" s="3" t="str">
        <x:v>1</x:v>
      </x:c>
      <x:c r="D32" s="3" t="str">
        <x:v>requires_human_expert</x:v>
      </x:c>
      <x:c r="E32" s="3" t="str">
        <x:v>prefer_seed</x:v>
      </x:c>
      <x:c r="F32" s="3" t="str">
        <x:v>Select S5=1. Protection or integration errors can damage equipment and disturb a shared network, but layered protection, staged energization and utility operating procedures normally limit the direct consequence. This is very low tolerance, not automatically catastrophic or irreversible.</x:v>
      </x:c>
      <x:c r="G32" s="3" t="str">
        <x:v>What direct equipment or network consequences can incorrect pilot protection or energization cause before independently coordinated utility and plant protection isolate the fault?</x:v>
      </x:c>
      <x:c r="H32" s="3" t="str">
        <x:v>Support owner 1 provisionally; the actual independent utility/plant boundary requires named review.</x:v>
      </x:c>
      <x:c r="I32" s="3" t="str">
        <x:v>fusion-src-031</x:v>
      </x:c>
    </x:row>
  </x:sheetData>
  <x:mergeCells>
    <x:mergeCell ref="A1:D1"/>
    <x:mergeCell ref="A2:D2"/>
  </x:mergeCells>
  <x:pageMargins left="0.7" right="0.7" top="0.75" bottom="0.75" header="0.3" footer="0.3"/>
  <x:tableParts count="1">
    <x:tablePart xmlns:r="http://schemas.openxmlformats.org/officeDocument/2006/relationships" r:id="Rac83ac2347e9473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1" hidden="0" customWidth="1"/>
    <x:col min="3" max="3" width="18" hidden="0" customWidth="1"/>
    <x:col min="4" max="4" width="115" hidden="0" customWidth="1"/>
    <x:col min="5" max="5" width="97" hidden="0" customWidth="1"/>
    <x:col min="6" max="6" width="38" hidden="0" customWidth="1"/>
    <x:col min="7" max="7" width="75" hidden="0" customWidth="1"/>
    <x:col min="8" max="8" width="23" hidden="0" customWidth="1"/>
    <x:col min="9" max="9" width="37" hidden="0" customWidth="1"/>
    <x:col min="10" max="10" width="20" hidden="0" customWidth="1"/>
    <x:col min="11" max="11" width="30" hidden="0" customWidth="1"/>
  </x:cols>
  <x:sheetData>
    <x:row r="1" ht="54" customHeight="1">
      <x:c r="A1" s="5" t="str">
        <x:v>Human experts</x:v>
      </x:c>
      <x:c r="B1" s="5"/>
      <x:c r="C1" s="5"/>
      <x:c r="D1" s="5"/>
      <x:c r="E1" s="5"/>
      <x:c r="F1" s="5"/>
      <x:c r="G1" s="5"/>
      <x:c r="H1" s="5"/>
      <x:c r="I1" s="5"/>
      <x:c r="J1" s="5"/>
      <x:c r="K1" s="5"/>
    </x:row>
    <x:row r="2" ht="43" customHeight="1">
      <x:c r="A2" s="6" t="str">
        <x:v>AI-assisted · recommendation only. Details extend to the right.</x:v>
      </x:c>
      <x:c r="B2" s="6"/>
      <x:c r="C2" s="6"/>
      <x:c r="D2" s="6"/>
      <x:c r="E2" s="6"/>
      <x:c r="F2" s="6"/>
      <x:c r="G2" s="6"/>
      <x:c r="H2" s="6"/>
      <x:c r="I2" s="6"/>
      <x:c r="J2" s="6"/>
      <x:c r="K2" s="6"/>
    </x:row>
    <x:row r="3">
      <x:c r="A3" s="3"/>
      <x:c r="B3" s="3"/>
      <x:c r="C3" s="3"/>
      <x:c r="D3" s="3"/>
      <x:c r="E3" s="3"/>
      <x:c r="F3" s="3"/>
      <x:c r="G3" s="3"/>
      <x:c r="H3" s="3"/>
      <x:c r="I3" s="3"/>
      <x:c r="J3" s="3"/>
      <x:c r="K3" s="3"/>
    </x:row>
    <x:row r="4" ht="43" customHeight="1">
      <x:c r="A4" s="8" t="str">
        <x:v>Profile ID</x:v>
      </x:c>
      <x:c r="B4" s="8" t="str">
        <x:v>Dimension</x:v>
      </x:c>
      <x:c r="C4" s="8" t="str">
        <x:v>Outreach package</x:v>
      </x:c>
      <x:c r="D4" s="8" t="str">
        <x:v>Question for named specialist</x:v>
      </x:c>
      <x:c r="E4" s="8" t="str">
        <x:v>Why load-bearing</x:v>
      </x:c>
      <x:c r="F4" s="8" t="str">
        <x:v>Canonical source IDs</x:v>
      </x:c>
      <x:c r="G4" s="8" t="str">
        <x:v>Requested expertise</x:v>
      </x:c>
      <x:c r="H4" s="8" t="str">
        <x:v>Blocking stage</x:v>
      </x:c>
      <x:c r="I4" s="8" t="str">
        <x:v>Draft-use status</x:v>
      </x:c>
      <x:c r="J4" s="8" t="str">
        <x:v>Named reviewer</x:v>
      </x:c>
      <x:c r="K4" s="8" t="str">
        <x:v>Status</x:v>
      </x:c>
    </x:row>
    <x:row r="5" ht="44" customHeight="1">
      <x:c r="A5" s="9" t="str">
        <x:v>sp-0016</x:v>
      </x:c>
      <x:c r="B5" s="9" t="str">
        <x:v>S2</x:v>
      </x:c>
      <x:c r="C5" s="9" t="str">
        <x:v>EXP-FUS-01</x:v>
      </x:c>
      <x:c r="D5" s="9" t="str">
        <x:v>For a representative pilot-relevant tokamak campaign, what is the ordinary selection-to-result-to-revision loop, and does the documented cadence support 1 or 2?</x:v>
      </x:c>
      <x:c r="E5" s="9" t="str">
        <x:v>The owner prefers 1, but adjacent control papers do not resolve the elapsed selection feedback or the missing AI effect.</x:v>
      </x:c>
      <x:c r="F5" s="9" t="str">
        <x:v>fusion-src-018;fusion-src-019;fusion-src-024</x:v>
      </x:c>
      <x:c r="G5" s="9" t="str">
        <x:v>Named tokamak experimental programme or campaign scientist</x:v>
      </x:c>
      <x:c r="H5" s="9" t="str">
        <x:v>canonical_approval</x:v>
      </x:c>
      <x:c r="I5" s="9" t="str">
        <x:v>allowed_as_expert_coded_draft</x:v>
      </x:c>
      <x:c r="J5" s="9" t="str">
        <x:v>missing</x:v>
      </x:c>
      <x:c r="K5" s="9" t="str">
        <x:v>pending_named_specialist</x:v>
      </x:c>
    </x:row>
    <x:row r="6" ht="44" customHeight="1">
      <x:c r="A6" s="3" t="str">
        <x:v>sp-0018</x:v>
      </x:c>
      <x:c r="B6" s="3" t="str">
        <x:v>S5</x:v>
      </x:c>
      <x:c r="C6" s="3" t="str">
        <x:v>EXP-FUS-01</x:v>
      </x:c>
      <x:c r="D6" s="3" t="str">
        <x:v>At the pilot-relevant stored-energy and disruption envelope, what damage can an erroneous control output cause before independently verified machine protection acts?</x:v>
      </x:c>
      <x:c r="E6" s="3" t="str">
        <x:v>Small-device proof of concept cannot establish the consequence boundary or support a universal 1.</x:v>
      </x:c>
      <x:c r="F6" s="3" t="str">
        <x:v>fusion-src-018;fusion-src-008;fusion-src-020</x:v>
      </x:c>
      <x:c r="G6" s="3" t="str">
        <x:v>Named tokamak plasma-control and machine-protection engineer</x:v>
      </x:c>
      <x:c r="H6" s="3" t="str">
        <x:v>canonical_approval</x:v>
      </x:c>
      <x:c r="I6" s="3" t="str">
        <x:v>allowed_as_expert_coded_draft</x:v>
      </x:c>
      <x:c r="J6" s="3" t="str">
        <x:v>missing</x:v>
      </x:c>
      <x:c r="K6" s="3" t="str">
        <x:v>pending_named_specialist</x:v>
      </x:c>
    </x:row>
    <x:row r="7" ht="44" customHeight="1">
      <x:c r="A7" s="9" t="str">
        <x:v>sp-0020</x:v>
      </x:c>
      <x:c r="B7" s="9" t="str">
        <x:v>S3</x:v>
      </x:c>
      <x:c r="C7" s="9" t="str">
        <x:v>EXP-FUS-02</x:v>
      </x:c>
      <x:c r="D7" s="9" t="str">
        <x:v>Which material and pilot load envelope can the planned IFMIF-DONES specimen matrix represent, and how do spectrum/transmutation mismatch and accepted examinations limit useful parallel throughput?</x:v>
      </x:c>
      <x:c r="E7" s="9" t="str">
        <x:v>Planned specimen capacity cannot be equated with accepted qualification throughput across materials.</x:v>
      </x:c>
      <x:c r="F7" s="9" t="str">
        <x:v>fusion-src-045;fusion-src-046</x:v>
      </x:c>
      <x:c r="G7" s="9" t="str">
        <x:v>Named fusion irradiation/materials-qualification specialist</x:v>
      </x:c>
      <x:c r="H7" s="9" t="str">
        <x:v>canonical_approval</x:v>
      </x:c>
      <x:c r="I7" s="9" t="str">
        <x:v>allowed_as_expert_coded_draft</x:v>
      </x:c>
      <x:c r="J7" s="9" t="str">
        <x:v>missing</x:v>
      </x:c>
      <x:c r="K7" s="9" t="str">
        <x:v>pending_named_specialist</x:v>
      </x:c>
    </x:row>
    <x:row r="8" ht="44" customHeight="1">
      <x:c r="A8" s="3" t="str">
        <x:v>sp-0020</x:v>
      </x:c>
      <x:c r="B8" s="3" t="str">
        <x:v>S5</x:v>
      </x:c>
      <x:c r="C8" s="3" t="str">
        <x:v>EXP-FUS-02</x:v>
      </x:c>
      <x:c r="D8" s="3" t="str">
        <x:v>Which losses from an invalid irradiation or examination programme are irreversible before independent component/material acceptance, and what qualification claims can escape that boundary?</x:v>
      </x:c>
      <x:c r="E8" s="3" t="str">
        <x:v>The 0-1 disagreement depends on evidence loss and a real acceptance boundary, not a generic downstream accident.</x:v>
      </x:c>
      <x:c r="F8" s="3" t="str">
        <x:v>fusion-src-045;fusion-src-046</x:v>
      </x:c>
      <x:c r="G8" s="3" t="str">
        <x:v>Named fusion materials-qualification and assurance specialist</x:v>
      </x:c>
      <x:c r="H8" s="3" t="str">
        <x:v>canonical_approval</x:v>
      </x:c>
      <x:c r="I8" s="3" t="str">
        <x:v>allowed_as_expert_coded_draft</x:v>
      </x:c>
      <x:c r="J8" s="3" t="str">
        <x:v>missing</x:v>
      </x:c>
      <x:c r="K8" s="3" t="str">
        <x:v>pending_named_specialist</x:v>
      </x:c>
    </x:row>
    <x:row r="9" ht="44" customHeight="1">
      <x:c r="A9" s="9" t="str">
        <x:v>sp-0023</x:v>
      </x:c>
      <x:c r="B9" s="9" t="str">
        <x:v>S4</x:v>
      </x:c>
      <x:c r="C9" s="9" t="str">
        <x:v>EXP-FUS-02</x:v>
      </x:c>
      <x:c r="D9" s="9" t="str">
        <x:v>Which neutron, heat-flux, thermal-cycling, erosion and maintainability exposures must occur inside the frozen PFC development stage, and can sequential tests represent their combined effects?</x:v>
      </x:c>
      <x:c r="E9" s="9" t="str">
        <x:v>The evidence cannot establish whether the dominant physical floor warrants 0 or 1, and formal qualification must remain a separate stage.</x:v>
      </x:c>
      <x:c r="F9" s="9" t="str">
        <x:v>fusion-src-026;fusion-src-045</x:v>
      </x:c>
      <x:c r="G9" s="9" t="str">
        <x:v>Named plasma-facing component and plasma-material interaction specialist</x:v>
      </x:c>
      <x:c r="H9" s="9" t="str">
        <x:v>canonical_approval</x:v>
      </x:c>
      <x:c r="I9" s="9" t="str">
        <x:v>allowed_as_expert_coded_draft</x:v>
      </x:c>
      <x:c r="J9" s="9" t="str">
        <x:v>missing</x:v>
      </x:c>
      <x:c r="K9" s="9" t="str">
        <x:v>pending_named_specialist</x:v>
      </x:c>
    </x:row>
    <x:row r="10" ht="44" customHeight="1">
      <x:c r="A10" s="3" t="str">
        <x:v>sp-0023</x:v>
      </x:c>
      <x:c r="B10" s="3" t="str">
        <x:v>S5</x:v>
      </x:c>
      <x:c r="C10" s="3" t="str">
        <x:v>EXP-FUS-02</x:v>
      </x:c>
      <x:c r="D10" s="3" t="str">
        <x:v>What can an erroneous PFC development test or acceptance claim damage before the next independent acceptance/protection boundary, excluding failures discovered by a correctly conducted test?</x:v>
      </x:c>
      <x:c r="E10" s="3" t="str">
        <x:v>This determines whether 1 or 2 is justified without charging later operational failures to development.</x:v>
      </x:c>
      <x:c r="F10" s="3" t="str">
        <x:v>fusion-src-026</x:v>
      </x:c>
      <x:c r="G10" s="3" t="str">
        <x:v>Named PFC test/qualification assurance engineer</x:v>
      </x:c>
      <x:c r="H10" s="3" t="str">
        <x:v>canonical_approval</x:v>
      </x:c>
      <x:c r="I10" s="3" t="str">
        <x:v>allowed_as_expert_coded_draft</x:v>
      </x:c>
      <x:c r="J10" s="3" t="str">
        <x:v>missing</x:v>
      </x:c>
      <x:c r="K10" s="3" t="str">
        <x:v>pending_named_specialist</x:v>
      </x:c>
    </x:row>
    <x:row r="11" ht="44" customHeight="1">
      <x:c r="A11" s="9" t="str">
        <x:v>sp-0024</x:v>
      </x:c>
      <x:c r="B11" s="9" t="str">
        <x:v>S4</x:v>
      </x:c>
      <x:c r="C11" s="9" t="str">
        <x:v>EXP-FUS-03</x:v>
      </x:c>
      <x:c r="D11" s="9" t="str">
        <x:v>For the intended fuel-cycle subsystem tests, which retention, permeation, equilibration or residence processes impose irreducible duration, separately from authorization and facility-access delays?</x:v>
      </x:c>
      <x:c r="E11" s="9" t="str">
        <x:v>Without this separation, institutional constraints are incorrectly counted as intrinsic S4 time floors.</x:v>
      </x:c>
      <x:c r="F11" s="9" t="str">
        <x:v>fusion-src-038;fusion-src-028</x:v>
      </x:c>
      <x:c r="G11" s="9" t="str">
        <x:v>Named tritium-processing and fuel-cycle engineer</x:v>
      </x:c>
      <x:c r="H11" s="9" t="str">
        <x:v>canonical_approval</x:v>
      </x:c>
      <x:c r="I11" s="9" t="str">
        <x:v>allowed_as_expert_coded_draft</x:v>
      </x:c>
      <x:c r="J11" s="9" t="str">
        <x:v>missing</x:v>
      </x:c>
      <x:c r="K11" s="9" t="str">
        <x:v>pending_named_specialist</x:v>
      </x:c>
    </x:row>
    <x:row r="12" ht="44" customHeight="1">
      <x:c r="A12" s="3" t="str">
        <x:v>sp-0024</x:v>
      </x:c>
      <x:c r="B12" s="3" t="str">
        <x:v>S5</x:v>
      </x:c>
      <x:c r="C12" s="3" t="str">
        <x:v>EXP-FUS-03</x:v>
      </x:c>
      <x:c r="D12" s="3" t="str">
        <x:v>What tritium inventory loss or release is reasonably foreseeable before independently verified secondary confinement and accountancy controls act in this development scope?</x:v>
      </x:c>
      <x:c r="E12" s="3" t="str">
        <x:v>The owner preference of 1 cannot become an approved consequence judgment without a specific inventory and independent boundary.</x:v>
      </x:c>
      <x:c r="F12" s="3" t="str">
        <x:v>fusion-src-038;fusion-src-028</x:v>
      </x:c>
      <x:c r="G12" s="3" t="str">
        <x:v>Named tritium confinement, accountancy and radiological-safety specialist</x:v>
      </x:c>
      <x:c r="H12" s="3" t="str">
        <x:v>canonical_approval</x:v>
      </x:c>
      <x:c r="I12" s="3" t="str">
        <x:v>allowed_as_expert_coded_draft</x:v>
      </x:c>
      <x:c r="J12" s="3" t="str">
        <x:v>missing</x:v>
      </x:c>
      <x:c r="K12" s="3" t="str">
        <x:v>pending_named_specialist</x:v>
      </x:c>
    </x:row>
    <x:row r="13" ht="44" customHeight="1">
      <x:c r="A13" s="9" t="str">
        <x:v>sp-0025</x:v>
      </x:c>
      <x:c r="B13" s="9" t="str">
        <x:v>S2</x:v>
      </x:c>
      <x:c r="C13" s="9" t="str">
        <x:v>EXP-FUS-03</x:v>
      </x:c>
      <x:c r="D13" s="9" t="str">
        <x:v>For the specified blanket concept, does each decision-relevant development revision require integrated fusion-environment validation, or can representative subcomponent tests close an ordinary revision?</x:v>
      </x:c>
      <x:c r="E13" s="9" t="str">
        <x:v>This tests the owner's 0 preference against the frozen development scope without calling future TBM operation completed qualification.</x:v>
      </x:c>
      <x:c r="F13" s="9" t="str">
        <x:v>fusion-src-038;fusion-src-028</x:v>
      </x:c>
      <x:c r="G13" s="9" t="str">
        <x:v>Named blanket systems and breeding-validation specialist</x:v>
      </x:c>
      <x:c r="H13" s="9" t="str">
        <x:v>canonical_approval</x:v>
      </x:c>
      <x:c r="I13" s="9" t="str">
        <x:v>allowed_as_expert_coded_draft</x:v>
      </x:c>
      <x:c r="J13" s="9" t="str">
        <x:v>missing</x:v>
      </x:c>
      <x:c r="K13" s="9" t="str">
        <x:v>pending_named_specialist</x:v>
      </x:c>
    </x:row>
    <x:row r="14" ht="44" customHeight="1">
      <x:c r="A14" s="3" t="str">
        <x:v>sp-0025</x:v>
      </x:c>
      <x:c r="B14" s="3" t="str">
        <x:v>S5</x:v>
      </x:c>
      <x:c r="C14" s="3" t="str">
        <x:v>EXP-FUS-03</x:v>
      </x:c>
      <x:c r="D14" s="3" t="str">
        <x:v>For that blanket concept, which erroneous development outputs can cause direct chemical, radiological or equipment harm before independent test isolation and integration acceptance?</x:v>
      </x:c>
      <x:c r="E14" s="3" t="str">
        <x:v>Blanket concepts have different hazards, and neither generic catastrophic language nor complete containment is justified.</x:v>
      </x:c>
      <x:c r="F14" s="3" t="str">
        <x:v>fusion-src-038;fusion-src-028</x:v>
      </x:c>
      <x:c r="G14" s="3" t="str">
        <x:v>Named blanket engineering and test-safety specialist</x:v>
      </x:c>
      <x:c r="H14" s="3" t="str">
        <x:v>canonical_approval</x:v>
      </x:c>
      <x:c r="I14" s="3" t="str">
        <x:v>allowed_as_expert_coded_draft</x:v>
      </x:c>
      <x:c r="J14" s="3" t="str">
        <x:v>missing</x:v>
      </x:c>
      <x:c r="K14" s="3" t="str">
        <x:v>pending_named_specialist</x:v>
      </x:c>
    </x:row>
    <x:row r="15" ht="44" customHeight="1">
      <x:c r="A15" s="9" t="str">
        <x:v>sp-0028</x:v>
      </x:c>
      <x:c r="B15" s="9" t="str">
        <x:v>S5</x:v>
      </x:c>
      <x:c r="C15" s="9" t="str">
        <x:v>EXP-FUS-04</x:v>
      </x:c>
      <x:c r="D15" s="9" t="str">
        <x:v>During pilot nuclear/tritium commissioning, what direct harm from an erroneous startup or interface check can occur before independently verified interlocks and readiness hold points act?</x:v>
      </x:c>
      <x:c r="E15" s="9" t="str">
        <x:v>Low-power research-device first plasma does not validate the pilot boundary supporting owner 1.</x:v>
      </x:c>
      <x:c r="F15" s="9" t="str">
        <x:v>fusion-src-033;fusion-src-034;fusion-src-036</x:v>
      </x:c>
      <x:c r="G15" s="9" t="str">
        <x:v>Named fusion commissioning and nuclear/tritium systems-safety engineer</x:v>
      </x:c>
      <x:c r="H15" s="9" t="str">
        <x:v>canonical_approval</x:v>
      </x:c>
      <x:c r="I15" s="9" t="str">
        <x:v>allowed_as_expert_coded_draft</x:v>
      </x:c>
      <x:c r="J15" s="9" t="str">
        <x:v>missing</x:v>
      </x:c>
      <x:c r="K15" s="9" t="str">
        <x:v>pending_named_specialist</x:v>
      </x:c>
    </x:row>
    <x:row r="16" ht="44" customHeight="1">
      <x:c r="A16" s="3" t="str">
        <x:v>sp-0029</x:v>
      </x:c>
      <x:c r="B16" s="3" t="str">
        <x:v>S2</x:v>
      </x:c>
      <x:c r="C16" s="3" t="str">
        <x:v>EXP-FUS-04</x:v>
      </x:c>
      <x:c r="D16" s="3" t="str">
        <x:v>What specific pilot reliability or availability claim, exposure requirement and failure/repair criterion defines completion, and what ordinary learn-demonstrate-revise interval follows?</x:v>
      </x:c>
      <x:c r="E16" s="3" t="str">
        <x:v>Pulse duration cannot establish a years-scale feedback claim, and the frozen profile does not name the reliability target.</x:v>
      </x:c>
      <x:c r="F16" s="3" t="str">
        <x:v>fusion-src-011;fusion-src-032</x:v>
      </x:c>
      <x:c r="G16" s="3" t="str">
        <x:v>Named fusion reliability/availability and maintainability specialist</x:v>
      </x:c>
      <x:c r="H16" s="3" t="str">
        <x:v>canonical_approval</x:v>
      </x:c>
      <x:c r="I16" s="3" t="str">
        <x:v>allowed_as_expert_coded_draft</x:v>
      </x:c>
      <x:c r="J16" s="3" t="str">
        <x:v>missing</x:v>
      </x:c>
      <x:c r="K16" s="3" t="str">
        <x:v>pending_named_specialist</x:v>
      </x:c>
    </x:row>
    <x:row r="17" ht="44" customHeight="1">
      <x:c r="A17" s="9" t="str">
        <x:v>sp-0029</x:v>
      </x:c>
      <x:c r="B17" s="9" t="str">
        <x:v>S5</x:v>
      </x:c>
      <x:c r="C17" s="9" t="str">
        <x:v>EXP-FUS-04</x:v>
      </x:c>
      <x:c r="D17" s="9" t="str">
        <x:v>Which errors in reliability-test conduct or inference can escape to cause harm before independent machine protection and readiness acceptance, distinct from component failures the test is meant to reveal?</x:v>
      </x:c>
      <x:c r="E17" s="9" t="str">
        <x:v>This prevents both over-counting informative failures as catastrophic errors and understating false assurance.</x:v>
      </x:c>
      <x:c r="F17" s="9" t="str">
        <x:v>missing</x:v>
      </x:c>
      <x:c r="G17" s="9" t="str">
        <x:v>Named reliability demonstration and operational-assurance specialist</x:v>
      </x:c>
      <x:c r="H17" s="9" t="str">
        <x:v>canonical_approval</x:v>
      </x:c>
      <x:c r="I17" s="9" t="str">
        <x:v>allowed_as_expert_coded_draft</x:v>
      </x:c>
      <x:c r="J17" s="9" t="str">
        <x:v>missing</x:v>
      </x:c>
      <x:c r="K17" s="9" t="str">
        <x:v>pending_named_specialist</x:v>
      </x:c>
    </x:row>
    <x:row r="18" ht="44" customHeight="1">
      <x:c r="A18" s="3" t="str">
        <x:v>sp-0030</x:v>
      </x:c>
      <x:c r="B18" s="3" t="str">
        <x:v>S2</x:v>
      </x:c>
      <x:c r="C18" s="3" t="str">
        <x:v>EXP-FUS-05</x:v>
      </x:c>
      <x:c r="D18" s="3" t="str">
        <x:v>Which jurisdiction-specific application, review and response stages define the ordinary fusion pilot licensing loop, and is any shared 0-1 recommendation defensible without a completed comparable case?</x:v>
      </x:c>
      <x:c r="E18" s="3" t="str">
        <x:v>The owner withheld selection; rulemaking intervals cannot resolve licensing feedback speed.</x:v>
      </x:c>
      <x:c r="F18" s="3" t="str">
        <x:v>fusion-src-039;fusion-src-040;fusion-src-004</x:v>
      </x:c>
      <x:c r="G18" s="3" t="str">
        <x:v>Named fusion regulatory specialist for the applicable jurisdiction; qualified Chinese legal reviewer for PRC wording</x:v>
      </x:c>
      <x:c r="H18" s="3" t="str">
        <x:v>canonical_approval</x:v>
      </x:c>
      <x:c r="I18" s="3" t="str">
        <x:v>allowed_as_expert_coded_draft</x:v>
      </x:c>
      <x:c r="J18" s="3" t="str">
        <x:v>missing</x:v>
      </x:c>
      <x:c r="K18" s="3" t="str">
        <x:v>pending_named_specialist</x:v>
      </x:c>
    </x:row>
    <x:row r="19" ht="44" customHeight="1">
      <x:c r="A19" s="9" t="str">
        <x:v>sp-0030</x:v>
      </x:c>
      <x:c r="B19" s="9" t="str">
        <x:v>S3</x:v>
      </x:c>
      <x:c r="C19" s="9" t="str">
        <x:v>EXP-FUS-05</x:v>
      </x:c>
      <x:c r="D19" s="9" t="str">
        <x:v>For that licensing regime, what counts as a formal attempt, what does it cost, and which parts of application preparation and substantive review can proceed in parallel?</x:v>
      </x:c>
      <x:c r="E19" s="9" t="str">
        <x:v>Cheap drafts and scarce formal reviews imply different S3 judgments; legal status supplies neither cost nor throughput.</x:v>
      </x:c>
      <x:c r="F19" s="9" t="str">
        <x:v>fusion-src-039;fusion-src-040;fusion-src-004</x:v>
      </x:c>
      <x:c r="G19" s="9" t="str">
        <x:v>Named fusion licensing practitioner with application and regulator-review experience</x:v>
      </x:c>
      <x:c r="H19" s="9" t="str">
        <x:v>canonical_approval</x:v>
      </x:c>
      <x:c r="I19" s="9" t="str">
        <x:v>allowed_as_expert_coded_draft</x:v>
      </x:c>
      <x:c r="J19" s="9" t="str">
        <x:v>missing</x:v>
      </x:c>
      <x:c r="K19" s="9" t="str">
        <x:v>pending_named_specialist</x:v>
      </x:c>
    </x:row>
    <x:row r="20" ht="44" customHeight="1">
      <x:c r="A20" s="3" t="str">
        <x:v>sp-0030</x:v>
      </x:c>
      <x:c r="B20" s="3" t="str">
        <x:v>S5</x:v>
      </x:c>
      <x:c r="C20" s="3" t="str">
        <x:v>EXP-FUS-05</x:v>
      </x:c>
      <x:c r="D20" s="3" t="str">
        <x:v>What direct consequence can an erroneous fusion pilot licence or safety-case acceptance cause before the next genuinely independent operating authorization or technical control in that jurisdiction?</x:v>
      </x:c>
      <x:c r="E20" s="3" t="str">
        <x:v>The unresolved owner 0-2 interval depends on the actual legal and technical boundary; a midpoint would be fabricated consensus.</x:v>
      </x:c>
      <x:c r="F20" s="3" t="str">
        <x:v>fusion-src-039;fusion-src-040;fusion-src-004</x:v>
      </x:c>
      <x:c r="G20" s="3" t="str">
        <x:v>Named fusion regulatory/safety-case specialist; qualified native-language legal expertise where applicable</x:v>
      </x:c>
      <x:c r="H20" s="3" t="str">
        <x:v>canonical_approval</x:v>
      </x:c>
      <x:c r="I20" s="3" t="str">
        <x:v>allowed_as_expert_coded_draft</x:v>
      </x:c>
      <x:c r="J20" s="3" t="str">
        <x:v>missing</x:v>
      </x:c>
      <x:c r="K20" s="3" t="str">
        <x:v>pending_named_specialist</x:v>
      </x:c>
    </x:row>
    <x:row r="21" ht="44" customHeight="1">
      <x:c r="A21" s="9" t="str">
        <x:v>sp-0031</x:v>
      </x:c>
      <x:c r="B21" s="9" t="str">
        <x:v>S3</x:v>
      </x:c>
      <x:c r="C21" s="9" t="str">
        <x:v>EXP-FUS-06</x:v>
      </x:c>
      <x:c r="D21" s="9" t="str">
        <x:v>For a concrete pilot site, which connection assets are reused or new, and what are the marginal cost and attainable repetition of studies versus energized integrated tests?</x:v>
      </x:c>
      <x:c r="E21" s="9" t="str">
        <x:v>The owner preserves 0-1 because no comparable fusion-grid case defines the decisive attempt set.</x:v>
      </x:c>
      <x:c r="F21" s="9" t="str">
        <x:v>fusion-src-031</x:v>
      </x:c>
      <x:c r="G21" s="9" t="str">
        <x:v>Named grid-interconnection and power-plant electrical engineer</x:v>
      </x:c>
      <x:c r="H21" s="9" t="str">
        <x:v>canonical_approval</x:v>
      </x:c>
      <x:c r="I21" s="9" t="str">
        <x:v>allowed_as_expert_coded_draft</x:v>
      </x:c>
      <x:c r="J21" s="9" t="str">
        <x:v>missing</x:v>
      </x:c>
      <x:c r="K21" s="9" t="str">
        <x:v>pending_named_specialist</x:v>
      </x:c>
    </x:row>
    <x:row r="22" ht="44" customHeight="1">
      <x:c r="A22" s="3" t="str">
        <x:v>sp-0031</x:v>
      </x:c>
      <x:c r="B22" s="3" t="str">
        <x:v>S4</x:v>
      </x:c>
      <x:c r="C22" s="3" t="str">
        <x:v>EXP-FUS-06</x:v>
      </x:c>
      <x:c r="D22" s="3" t="str">
        <x:v>Which physical installation, connection and energization steps are unavoidable at that site, separately from equipment procurement queues, outage booking and regulatory waits?</x:v>
      </x:c>
      <x:c r="E22" s="3" t="str">
        <x:v>Greenfield versus reused infrastructure can change the physical topology and the 0-1 recommendation.</x:v>
      </x:c>
      <x:c r="F22" s="3" t="str">
        <x:v>missing</x:v>
      </x:c>
      <x:c r="G22" s="3" t="str">
        <x:v>Named grid connection/construction and commissioning engineer</x:v>
      </x:c>
      <x:c r="H22" s="3" t="str">
        <x:v>canonical_approval</x:v>
      </x:c>
      <x:c r="I22" s="3" t="str">
        <x:v>allowed_as_expert_coded_draft</x:v>
      </x:c>
      <x:c r="J22" s="3" t="str">
        <x:v>missing</x:v>
      </x:c>
      <x:c r="K22" s="3" t="str">
        <x:v>pending_named_specialist</x:v>
      </x:c>
    </x:row>
    <x:row r="23" ht="44" customHeight="1">
      <x:c r="A23" s="9" t="str">
        <x:v>sp-0031</x:v>
      </x:c>
      <x:c r="B23" s="9" t="str">
        <x:v>S5</x:v>
      </x:c>
      <x:c r="C23" s="9" t="str">
        <x:v>EXP-FUS-06</x:v>
      </x:c>
      <x:c r="D23" s="9" t="str">
        <x:v>What direct equipment or network consequences can incorrect pilot protection or energization cause before independently coordinated utility and plant protection isolate the fault?</x:v>
      </x:c>
      <x:c r="E23" s="9" t="str">
        <x:v>Owner 1 depends on a real protection boundary that no observed fusion export case currently validates.</x:v>
      </x:c>
      <x:c r="F23" s="9" t="str">
        <x:v>fusion-src-031</x:v>
      </x:c>
      <x:c r="G23" s="9" t="str">
        <x:v>Named power-system protection and grid-integration safety engineer</x:v>
      </x:c>
      <x:c r="H23" s="9" t="str">
        <x:v>canonical_approval</x:v>
      </x:c>
      <x:c r="I23" s="9" t="str">
        <x:v>allowed_as_expert_coded_draft</x:v>
      </x:c>
      <x:c r="J23" s="9" t="str">
        <x:v>missing</x:v>
      </x:c>
      <x:c r="K23" s="9" t="str">
        <x:v>pending_named_specialist</x:v>
      </x:c>
    </x:row>
  </x:sheetData>
  <x:mergeCells>
    <x:mergeCell ref="A1:D1"/>
    <x:mergeCell ref="A2:D2"/>
  </x:mergeCells>
  <x:pageMargins left="0.7" right="0.7" top="0.75" bottom="0.75" header="0.3" footer="0.3"/>
  <x:tableParts count="1">
    <x:tablePart xmlns:r="http://schemas.openxmlformats.org/officeDocument/2006/relationships" r:id="R0f829761380348b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55" hidden="0" customWidth="1"/>
    <x:col min="4" max="4" width="16" hidden="0" customWidth="1"/>
    <x:col min="5" max="5" width="78" hidden="0" customWidth="1"/>
    <x:col min="6" max="6" width="23" hidden="0" customWidth="1"/>
    <x:col min="7" max="7" width="37" hidden="0" customWidth="1"/>
    <x:col min="8" max="8" width="100" hidden="0" customWidth="1"/>
  </x:cols>
  <x:sheetData>
    <x:row r="1" ht="54" customHeight="1">
      <x:c r="A1" s="5" t="str">
        <x:v>Outreach packages</x:v>
      </x:c>
      <x:c r="B1" s="5"/>
      <x:c r="C1" s="5"/>
      <x:c r="D1" s="5"/>
      <x:c r="E1" s="5"/>
      <x:c r="F1" s="5"/>
      <x:c r="G1" s="5"/>
      <x:c r="H1" s="5"/>
    </x:row>
    <x:row r="2" ht="43" customHeight="1">
      <x:c r="A2" s="6" t="str">
        <x:v>AI-assisted · recommendation only. Details extend to the right.</x:v>
      </x:c>
      <x:c r="B2" s="6"/>
      <x:c r="C2" s="6"/>
      <x:c r="D2" s="6"/>
      <x:c r="E2" s="6"/>
      <x:c r="F2" s="6"/>
      <x:c r="G2" s="6"/>
      <x:c r="H2" s="6"/>
    </x:row>
    <x:row r="3">
      <x:c r="A3" s="3"/>
      <x:c r="B3" s="3"/>
      <x:c r="C3" s="3"/>
      <x:c r="D3" s="3"/>
      <x:c r="E3" s="3"/>
      <x:c r="F3" s="3"/>
      <x:c r="G3" s="3"/>
      <x:c r="H3" s="3"/>
    </x:row>
    <x:row r="4" ht="43" customHeight="1">
      <x:c r="A4" s="8" t="str">
        <x:v>Package ID</x:v>
      </x:c>
      <x:c r="B4" s="8" t="str">
        <x:v>Theme</x:v>
      </x:c>
      <x:c r="C4" s="8" t="str">
        <x:v>Cell-level questions</x:v>
      </x:c>
      <x:c r="D4" s="8" t="str">
        <x:v>Question count</x:v>
      </x:c>
      <x:c r="E4" s="8" t="str">
        <x:v>Primary expertise</x:v>
      </x:c>
      <x:c r="F4" s="8" t="str">
        <x:v>Blocking stage</x:v>
      </x:c>
      <x:c r="G4" s="8" t="str">
        <x:v>Draft-use status</x:v>
      </x:c>
      <x:c r="H4" s="8" t="str">
        <x:v>Purpose</x:v>
      </x:c>
    </x:row>
    <x:row r="5" ht="44" customHeight="1">
      <x:c r="A5" s="9" t="str">
        <x:v>EXP-FUS-01</x:v>
      </x:c>
      <x:c r="B5" s="9" t="str">
        <x:v>Experiment campaigns, plasma control and machine protection</x:v>
      </x:c>
      <x:c r="C5" s="9" t="str">
        <x:v>sp-0016/S2; sp-0018/S5</x:v>
      </x:c>
      <x:c r="D5" s="9" t="n">
        <x:v>2</x:v>
      </x:c>
      <x:c r="E5" s="9" t="str">
        <x:v>Tokamak campaign scientist; plasma-control and machine-protection engineer</x:v>
      </x:c>
      <x:c r="F5" s="9" t="str">
        <x:v>canonical_approval</x:v>
      </x:c>
      <x:c r="G5" s="9" t="str">
        <x:v>allowed_as_expert_coded_draft</x:v>
      </x:c>
      <x:c r="H5" s="9" t="str">
        <x:v>Resolve experiment-selection cadence and the bounded machine-protection consequence boundary.</x:v>
      </x:c>
    </x:row>
    <x:row r="6" ht="44" customHeight="1">
      <x:c r="A6" s="3" t="str">
        <x:v>EXP-FUS-02</x:v>
      </x:c>
      <x:c r="B6" s="3" t="str">
        <x:v>Materials qualification and plasma-facing components</x:v>
      </x:c>
      <x:c r="C6" s="3" t="str">
        <x:v>sp-0020/S3; sp-0020/S5; sp-0023/S4; sp-0023/S5</x:v>
      </x:c>
      <x:c r="D6" s="3" t="n">
        <x:v>4</x:v>
      </x:c>
      <x:c r="E6" s="3" t="str">
        <x:v>Fusion irradiation/materials-qualification and plasma-material-interaction specialists</x:v>
      </x:c>
      <x:c r="F6" s="3" t="str">
        <x:v>canonical_approval</x:v>
      </x:c>
      <x:c r="G6" s="3" t="str">
        <x:v>allowed_as_expert_coded_draft</x:v>
      </x:c>
      <x:c r="H6" s="3" t="str">
        <x:v>Resolve representative throughput, irreversible evidence loss, combined-environment floors, and PFC assurance boundaries.</x:v>
      </x:c>
    </x:row>
    <x:row r="7" ht="44" customHeight="1">
      <x:c r="A7" s="9" t="str">
        <x:v>EXP-FUS-03</x:v>
      </x:c>
      <x:c r="B7" s="9" t="str">
        <x:v>Tritium and blankets</x:v>
      </x:c>
      <x:c r="C7" s="9" t="str">
        <x:v>sp-0024/S4; sp-0024/S5; sp-0025/S2; sp-0025/S5</x:v>
      </x:c>
      <x:c r="D7" s="9" t="n">
        <x:v>4</x:v>
      </x:c>
      <x:c r="E7" s="9" t="str">
        <x:v>Tritium processing/confinement and blanket engineering/test-safety specialists</x:v>
      </x:c>
      <x:c r="F7" s="9" t="str">
        <x:v>canonical_approval</x:v>
      </x:c>
      <x:c r="G7" s="9" t="str">
        <x:v>allowed_as_expert_coded_draft</x:v>
      </x:c>
      <x:c r="H7" s="9" t="str">
        <x:v>Separate intrinsic process floors from access delays and define direct fuel-cycle/blanket consequences.</x:v>
      </x:c>
    </x:row>
    <x:row r="8" ht="44" customHeight="1">
      <x:c r="A8" s="3" t="str">
        <x:v>EXP-FUS-04</x:v>
      </x:c>
      <x:c r="B8" s="3" t="str">
        <x:v>Commissioning and reliability</x:v>
      </x:c>
      <x:c r="C8" s="3" t="str">
        <x:v>sp-0028/S5; sp-0029/S2; sp-0029/S5</x:v>
      </x:c>
      <x:c r="D8" s="3" t="n">
        <x:v>3</x:v>
      </x:c>
      <x:c r="E8" s="3" t="str">
        <x:v>Fusion commissioning, nuclear/tritium systems safety, reliability and maintainability specialists</x:v>
      </x:c>
      <x:c r="F8" s="3" t="str">
        <x:v>canonical_approval</x:v>
      </x:c>
      <x:c r="G8" s="3" t="str">
        <x:v>allowed_as_expert_coded_draft</x:v>
      </x:c>
      <x:c r="H8" s="3" t="str">
        <x:v>Define pilot commissioning protection boundaries and the reliability claim/test protocol.</x:v>
      </x:c>
    </x:row>
    <x:row r="9" ht="44" customHeight="1">
      <x:c r="A9" s="9" t="str">
        <x:v>EXP-FUS-05</x:v>
      </x:c>
      <x:c r="B9" s="9" t="str">
        <x:v>Licensing and regulation</x:v>
      </x:c>
      <x:c r="C9" s="9" t="str">
        <x:v>sp-0030/S2; sp-0030/S3; sp-0030/S5</x:v>
      </x:c>
      <x:c r="D9" s="9" t="n">
        <x:v>3</x:v>
      </x:c>
      <x:c r="E9" s="9" t="str">
        <x:v>Fusion licensing practitioner/regulator; qualified Chinese legal reviewer for PRC wording</x:v>
      </x:c>
      <x:c r="F9" s="9" t="str">
        <x:v>canonical_approval</x:v>
      </x:c>
      <x:c r="G9" s="9" t="str">
        <x:v>allowed_as_expert_coded_draft</x:v>
      </x:c>
      <x:c r="H9" s="9" t="str">
        <x:v>Define jurisdiction-specific review cycles, formal attempts, and the next genuinely independent authorization boundary.</x:v>
      </x:c>
    </x:row>
    <x:row r="10" ht="44" customHeight="1">
      <x:c r="A10" s="3" t="str">
        <x:v>EXP-FUS-06</x:v>
      </x:c>
      <x:c r="B10" s="3" t="str">
        <x:v>Grid integration and protection</x:v>
      </x:c>
      <x:c r="C10" s="3" t="str">
        <x:v>sp-0031/S3; sp-0031/S4; sp-0031/S5</x:v>
      </x:c>
      <x:c r="D10" s="3" t="n">
        <x:v>3</x:v>
      </x:c>
      <x:c r="E10" s="3" t="str">
        <x:v>Grid-interconnection, power-plant electrical, construction/commissioning, and protection engineers</x:v>
      </x:c>
      <x:c r="F10" s="3" t="str">
        <x:v>canonical_approval</x:v>
      </x:c>
      <x:c r="G10" s="3" t="str">
        <x:v>allowed_as_expert_coded_draft</x:v>
      </x:c>
      <x:c r="H10" s="3" t="str">
        <x:v>Resolve greenfield versus reused-site topology, physical connection floors, and the utility/plant protection boundary.</x:v>
      </x:c>
    </x:row>
  </x:sheetData>
  <x:mergeCells>
    <x:mergeCell ref="A1:D1"/>
    <x:mergeCell ref="A2:D2"/>
  </x:mergeCells>
  <x:pageMargins left="0.7" right="0.7" top="0.75" bottom="0.75" header="0.3" footer="0.3"/>
  <x:tableParts count="1">
    <x:tablePart xmlns:r="http://schemas.openxmlformats.org/officeDocument/2006/relationships" r:id="Ra12dafa029484cd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3" hidden="0" customWidth="1"/>
    <x:col min="2" max="2" width="11" hidden="0" customWidth="1"/>
    <x:col min="3" max="3" width="25" hidden="0" customWidth="1"/>
    <x:col min="4" max="4" width="30" hidden="0" customWidth="1"/>
    <x:col min="5" max="5" width="20" hidden="0" customWidth="1"/>
    <x:col min="6" max="6" width="23" hidden="0" customWidth="1"/>
    <x:col min="7" max="7" width="25" hidden="0" customWidth="1"/>
    <x:col min="8" max="8" width="26" hidden="0" customWidth="1"/>
    <x:col min="9" max="9" width="115" hidden="0" customWidth="1"/>
    <x:col min="10" max="10" width="20" hidden="0" customWidth="1"/>
    <x:col min="11" max="11" width="27" hidden="0" customWidth="1"/>
    <x:col min="12" max="12" width="150" hidden="0" customWidth="1"/>
    <x:col min="13" max="13" width="135" hidden="0" customWidth="1"/>
    <x:col min="14" max="14" width="26" hidden="0" customWidth="1"/>
    <x:col min="15" max="15" width="75" hidden="0" customWidth="1"/>
  </x:cols>
  <x:sheetData>
    <x:row r="1" ht="54" customHeight="1">
      <x:c r="A1" s="5" t="str">
        <x:v>Preserved record</x:v>
      </x:c>
      <x:c r="B1" s="5"/>
      <x:c r="C1" s="5"/>
      <x:c r="D1" s="5"/>
      <x:c r="E1" s="5"/>
      <x:c r="F1" s="5"/>
      <x:c r="G1" s="5"/>
      <x:c r="H1" s="5"/>
      <x:c r="I1" s="5"/>
      <x:c r="J1" s="5"/>
      <x:c r="K1" s="5"/>
      <x:c r="L1" s="5"/>
      <x:c r="M1" s="5"/>
      <x:c r="N1" s="5"/>
      <x:c r="O1" s="5"/>
    </x:row>
    <x:row r="2" ht="43" customHeight="1">
      <x:c r="A2" s="6" t="str">
        <x:v>AI-assisted · recommendation only. Details extend to the right.</x:v>
      </x:c>
      <x:c r="B2" s="6"/>
      <x:c r="C2" s="6"/>
      <x:c r="D2" s="6"/>
      <x:c r="E2" s="6"/>
      <x:c r="F2" s="6"/>
      <x:c r="G2" s="6"/>
      <x:c r="H2" s="6"/>
      <x:c r="I2" s="6"/>
      <x:c r="J2" s="6"/>
      <x:c r="K2" s="6"/>
      <x:c r="L2" s="6"/>
      <x:c r="M2" s="6"/>
      <x:c r="N2" s="6"/>
      <x:c r="O2" s="6"/>
    </x:row>
    <x:row r="3">
      <x:c r="A3" s="3"/>
      <x:c r="B3" s="3"/>
      <x:c r="C3" s="3"/>
      <x:c r="D3" s="3"/>
      <x:c r="E3" s="3"/>
      <x:c r="F3" s="3"/>
      <x:c r="G3" s="3"/>
      <x:c r="H3" s="3"/>
      <x:c r="I3" s="3"/>
      <x:c r="J3" s="3"/>
      <x:c r="K3" s="3"/>
      <x:c r="L3" s="3"/>
      <x:c r="M3" s="3"/>
      <x:c r="N3" s="3"/>
      <x:c r="O3" s="3"/>
    </x:row>
    <x:row r="4" ht="43" customHeight="1">
      <x:c r="A4" s="8" t="str">
        <x:v>Profile ID</x:v>
      </x:c>
      <x:c r="B4" s="8" t="str">
        <x:v>Dimension</x:v>
      </x:c>
      <x:c r="C4" s="8" t="str">
        <x:v>Seed review ID</x:v>
      </x:c>
      <x:c r="D4" s="8" t="str">
        <x:v>Independent review ID</x:v>
      </x:c>
      <x:c r="E4" s="8" t="str">
        <x:v>Seed source IDs</x:v>
      </x:c>
      <x:c r="F4" s="8" t="str">
        <x:v>Independent source IDs</x:v>
      </x:c>
      <x:c r="G4" s="8" t="str">
        <x:v>Owner exception ID</x:v>
      </x:c>
      <x:c r="H4" s="8" t="str">
        <x:v>Owner disposition</x:v>
      </x:c>
      <x:c r="I4" s="8" t="str">
        <x:v>Owner rationale (verbatim)</x:v>
      </x:c>
      <x:c r="J4" s="8" t="str">
        <x:v>Owner selected S value</x:v>
      </x:c>
      <x:c r="K4" s="8" t="str">
        <x:v>Owner decision state</x:v>
      </x:c>
      <x:c r="L4" s="8" t="str">
        <x:v>Seed rationale (verbatim)</x:v>
      </x:c>
      <x:c r="M4" s="8" t="str">
        <x:v>Independent rationale (verbatim)</x:v>
      </x:c>
      <x:c r="N4" s="8" t="str">
        <x:v>Comparison status</x:v>
      </x:c>
      <x:c r="O4" s="8" t="str">
        <x:v>Existing S5 backlog status</x:v>
      </x:c>
    </x:row>
    <x:row r="5" ht="220" customHeight="1">
      <x:c r="A5" s="9" t="str">
        <x:v>sp-0014</x:v>
      </x:c>
      <x:c r="B5" s="9" t="str">
        <x:v>S1</x:v>
      </x:c>
      <x:c r="C5" s="9" t="str">
        <x:v>seed-sp-0014-v1</x:v>
      </x:c>
      <x:c r="D5" s="9" t="str">
        <x:v>independent-sp-0014-v1</x:v>
      </x:c>
      <x:c r="E5" s="9" t="str"/>
      <x:c r="F5" s="9" t="str"/>
      <x:c r="G5" s="9" t="str"/>
      <x:c r="H5" s="9" t="str"/>
      <x:c r="I5" s="9" t="str"/>
      <x:c r="J5" s="9" t="str"/>
      <x:c r="K5" s="9" t="str"/>
      <x:c r="L5" s="9" t="str">
        <x:v>S1: tokamak theory, system requirements, architecture and pilot-plant design trade-offs are carried out entirely in analysis, models and specification; the frozen scope excludes detailed subsystem engineering, fabrication, construction and commissioning, so no physical transformation occurs inside the stage; S2: intermediate judgment - because empirical validation lies outside this scope, the ordinary in-scope loop is analyse, review and revise, which runs in days to weeks; it is slower than software architecture work because each iteration requires coupled multi-physics analysis and cross-subsystem consistency checking, so it sits between the minutes-to-days and weeks-to-months anchors; S3 cost: cost and throughput diverge - generating and comparing additional design points and trade studies costs analyst and compute time and is inexpensive at the margin; S3 throughput: design-point generation parallelises well, but the integrated multi-physics analyses that actually discriminate between design points consume allocated high-performance computing time and queue, so decision-relevant throughput is constrained; S4: no construction, growth, curing, healing or qualification floor governs the scoped design work; S5: intermediate judgment - errors are corrected cheaply while the work remains analytical, but this stage sets commitments that propagate into irreversible fabrication, construction and licensing decisions, so its errors are not low-externality in the way the top anchor requires; scope caveat: frozen V1 pathway is tokamak research to pilot-plant demonstration; conventional large, compact high-field and spherical tokamaks may need explicit variants and stellarators are a separate pathway; this row is routed to fusion domain review; critical_path_role remains not_assessed.</x:v>
      </x:c>
      <x:c r="M5" s="9" t="str">
        <x:v>S1: 4 — tokamak theory, requirements, architecture, and system trade-offs are primarily information and design work; S2: 2 — integrated theory and system-design revisions ordinarily take weeks to months; S3 cost: 3 — Intermediate judgment: analytical alternatives are relatively cheap, but high-fidelity models and specialist integration impose meaningful cost; S3 throughput: analyses can run in parallel, while coupled-system review constrains convergence; S4: 4 — component fabrication and construction are excluded, leaving no intrinsic physical floor inside the stage; S5: 2 — design errors are revisable within the stage but can create material downstream rework and assurance burden; scope caveat: pilot-relevant tokamak design only, not detailed subsystem fabrication or a stellarator pathway.</x:v>
      </x:c>
      <x:c r="N5" s="9" t="str">
        <x:v>exact_agreement</x:v>
      </x:c>
      <x:c r="O5" s="9" t="str">
        <x:v>not_in_existing_backlog</x:v>
      </x:c>
    </x:row>
    <x:row r="6" ht="220" customHeight="1">
      <x:c r="A6" s="3" t="str">
        <x:v>sp-0014</x:v>
      </x:c>
      <x:c r="B6" s="3" t="str">
        <x:v>S2</x:v>
      </x:c>
      <x:c r="C6" s="3" t="str">
        <x:v>seed-sp-0014-v1</x:v>
      </x:c>
      <x:c r="D6" s="3" t="str">
        <x:v>independent-sp-0014-v1</x:v>
      </x:c>
      <x:c r="E6" s="3" t="str"/>
      <x:c r="F6" s="3" t="str"/>
      <x:c r="G6" s="3" t="str"/>
      <x:c r="H6" s="3" t="str"/>
      <x:c r="I6" s="3" t="str"/>
      <x:c r="J6" s="3" t="str"/>
      <x:c r="K6" s="3" t="str"/>
      <x:c r="L6" s="3" t="str">
        <x:v>S1: tokamak theory, system requirements, architecture and pilot-plant design trade-offs are carried out entirely in analysis, models and specification; the frozen scope excludes detailed subsystem engineering, fabrication, construction and commissioning, so no physical transformation occurs inside the stage; S2: intermediate judgment - because empirical validation lies outside this scope, the ordinary in-scope loop is analyse, review and revise, which runs in days to weeks; it is slower than software architecture work because each iteration requires coupled multi-physics analysis and cross-subsystem consistency checking, so it sits between the minutes-to-days and weeks-to-months anchors; S3 cost: cost and throughput diverge - generating and comparing additional design points and trade studies costs analyst and compute time and is inexpensive at the margin; S3 throughput: design-point generation parallelises well, but the integrated multi-physics analyses that actually discriminate between design points consume allocated high-performance computing time and queue, so decision-relevant throughput is constrained; S4: no construction, growth, curing, healing or qualification floor governs the scoped design work; S5: intermediate judgment - errors are corrected cheaply while the work remains analytical, but this stage sets commitments that propagate into irreversible fabrication, construction and licensing decisions, so its errors are not low-externality in the way the top anchor requires; scope caveat: frozen V1 pathway is tokamak research to pilot-plant demonstration; conventional large, compact high-field and spherical tokamaks may need explicit variants and stellarators are a separate pathway; this row is routed to fusion domain review; critical_path_role remains not_assessed.</x:v>
      </x:c>
      <x:c r="M6" s="3" t="str">
        <x:v>S1: 4 — tokamak theory, requirements, architecture, and system trade-offs are primarily information and design work; S2: 2 — integrated theory and system-design revisions ordinarily take weeks to months; S3 cost: 3 — Intermediate judgment: analytical alternatives are relatively cheap, but high-fidelity models and specialist integration impose meaningful cost; S3 throughput: analyses can run in parallel, while coupled-system review constrains convergence; S4: 4 — component fabrication and construction are excluded, leaving no intrinsic physical floor inside the stage; S5: 2 — design errors are revisable within the stage but can create material downstream rework and assurance burden; scope caveat: pilot-relevant tokamak design only, not detailed subsystem fabrication or a stellarator pathway.</x:v>
      </x:c>
      <x:c r="N6" s="3" t="str">
        <x:v>one_point_difference</x:v>
      </x:c>
      <x:c r="O6" s="3" t="str">
        <x:v>not_in_existing_backlog</x:v>
      </x:c>
    </x:row>
    <x:row r="7" ht="220" customHeight="1">
      <x:c r="A7" s="9" t="str">
        <x:v>sp-0014</x:v>
      </x:c>
      <x:c r="B7" s="9" t="str">
        <x:v>S3</x:v>
      </x:c>
      <x:c r="C7" s="9" t="str">
        <x:v>seed-sp-0014-v1</x:v>
      </x:c>
      <x:c r="D7" s="9" t="str">
        <x:v>independent-sp-0014-v1</x:v>
      </x:c>
      <x:c r="E7" s="9" t="str"/>
      <x:c r="F7" s="9" t="str"/>
      <x:c r="G7" s="9" t="str"/>
      <x:c r="H7" s="9" t="str"/>
      <x:c r="I7" s="9" t="str"/>
      <x:c r="J7" s="9" t="str"/>
      <x:c r="K7" s="9" t="str"/>
      <x:c r="L7" s="9" t="str">
        <x:v>S1: tokamak theory, system requirements, architecture and pilot-plant design trade-offs are carried out entirely in analysis, models and specification; the frozen scope excludes detailed subsystem engineering, fabrication, construction and commissioning, so no physical transformation occurs inside the stage; S2: intermediate judgment - because empirical validation lies outside this scope, the ordinary in-scope loop is analyse, review and revise, which runs in days to weeks; it is slower than software architecture work because each iteration requires coupled multi-physics analysis and cross-subsystem consistency checking, so it sits between the minutes-to-days and weeks-to-months anchors; S3 cost: cost and throughput diverge - generating and comparing additional design points and trade studies costs analyst and compute time and is inexpensive at the margin; S3 throughput: design-point generation parallelises well, but the integrated multi-physics analyses that actually discriminate between design points consume allocated high-performance computing time and queue, so decision-relevant throughput is constrained; S4: no construction, growth, curing, healing or qualification floor governs the scoped design work; S5: intermediate judgment - errors are corrected cheaply while the work remains analytical, but this stage sets commitments that propagate into irreversible fabrication, construction and licensing decisions, so its errors are not low-externality in the way the top anchor requires; scope caveat: frozen V1 pathway is tokamak research to pilot-plant demonstration; conventional large, compact high-field and spherical tokamaks may need explicit variants and stellarators are a separate pathway; this row is routed to fusion domain review; critical_path_role remains not_assessed.</x:v>
      </x:c>
      <x:c r="M7" s="9" t="str">
        <x:v>S1: 4 — tokamak theory, requirements, architecture, and system trade-offs are primarily information and design work; S2: 2 — integrated theory and system-design revisions ordinarily take weeks to months; S3 cost: 3 — Intermediate judgment: analytical alternatives are relatively cheap, but high-fidelity models and specialist integration impose meaningful cost; S3 throughput: analyses can run in parallel, while coupled-system review constrains convergence; S4: 4 — component fabrication and construction are excluded, leaving no intrinsic physical floor inside the stage; S5: 2 — design errors are revisable within the stage but can create material downstream rework and assurance burden; scope caveat: pilot-relevant tokamak design only, not detailed subsystem fabrication or a stellarator pathway.</x:v>
      </x:c>
      <x:c r="N7" s="9" t="str">
        <x:v>exact_agreement</x:v>
      </x:c>
      <x:c r="O7" s="9" t="str">
        <x:v>not_in_existing_backlog</x:v>
      </x:c>
    </x:row>
    <x:row r="8" ht="220" customHeight="1">
      <x:c r="A8" s="3" t="str">
        <x:v>sp-0014</x:v>
      </x:c>
      <x:c r="B8" s="3" t="str">
        <x:v>S4</x:v>
      </x:c>
      <x:c r="C8" s="3" t="str">
        <x:v>seed-sp-0014-v1</x:v>
      </x:c>
      <x:c r="D8" s="3" t="str">
        <x:v>independent-sp-0014-v1</x:v>
      </x:c>
      <x:c r="E8" s="3" t="str"/>
      <x:c r="F8" s="3" t="str"/>
      <x:c r="G8" s="3" t="str"/>
      <x:c r="H8" s="3" t="str"/>
      <x:c r="I8" s="3" t="str"/>
      <x:c r="J8" s="3" t="str"/>
      <x:c r="K8" s="3" t="str"/>
      <x:c r="L8" s="3" t="str">
        <x:v>S1: tokamak theory, system requirements, architecture and pilot-plant design trade-offs are carried out entirely in analysis, models and specification; the frozen scope excludes detailed subsystem engineering, fabrication, construction and commissioning, so no physical transformation occurs inside the stage; S2: intermediate judgment - because empirical validation lies outside this scope, the ordinary in-scope loop is analyse, review and revise, which runs in days to weeks; it is slower than software architecture work because each iteration requires coupled multi-physics analysis and cross-subsystem consistency checking, so it sits between the minutes-to-days and weeks-to-months anchors; S3 cost: cost and throughput diverge - generating and comparing additional design points and trade studies costs analyst and compute time and is inexpensive at the margin; S3 throughput: design-point generation parallelises well, but the integrated multi-physics analyses that actually discriminate between design points consume allocated high-performance computing time and queue, so decision-relevant throughput is constrained; S4: no construction, growth, curing, healing or qualification floor governs the scoped design work; S5: intermediate judgment - errors are corrected cheaply while the work remains analytical, but this stage sets commitments that propagate into irreversible fabrication, construction and licensing decisions, so its errors are not low-externality in the way the top anchor requires; scope caveat: frozen V1 pathway is tokamak research to pilot-plant demonstration; conventional large, compact high-field and spherical tokamaks may need explicit variants and stellarators are a separate pathway; this row is routed to fusion domain review; critical_path_role remains not_assessed.</x:v>
      </x:c>
      <x:c r="M8" s="3" t="str">
        <x:v>S1: 4 — tokamak theory, requirements, architecture, and system trade-offs are primarily information and design work; S2: 2 — integrated theory and system-design revisions ordinarily take weeks to months; S3 cost: 3 — Intermediate judgment: analytical alternatives are relatively cheap, but high-fidelity models and specialist integration impose meaningful cost; S3 throughput: analyses can run in parallel, while coupled-system review constrains convergence; S4: 4 — component fabrication and construction are excluded, leaving no intrinsic physical floor inside the stage; S5: 2 — design errors are revisable within the stage but can create material downstream rework and assurance burden; scope caveat: pilot-relevant tokamak design only, not detailed subsystem fabrication or a stellarator pathway.</x:v>
      </x:c>
      <x:c r="N8" s="3" t="str">
        <x:v>exact_agreement</x:v>
      </x:c>
      <x:c r="O8" s="3" t="str">
        <x:v>not_in_existing_backlog</x:v>
      </x:c>
    </x:row>
    <x:row r="9" ht="220" customHeight="1">
      <x:c r="A9" s="9" t="str">
        <x:v>sp-0014</x:v>
      </x:c>
      <x:c r="B9" s="9" t="str">
        <x:v>S5</x:v>
      </x:c>
      <x:c r="C9" s="9" t="str">
        <x:v>seed-sp-0014-v1</x:v>
      </x:c>
      <x:c r="D9" s="9" t="str">
        <x:v>independent-sp-0014-v1</x:v>
      </x:c>
      <x:c r="E9" s="9" t="str"/>
      <x:c r="F9" s="9" t="str"/>
      <x:c r="G9" s="9" t="str"/>
      <x:c r="H9" s="9" t="str"/>
      <x:c r="I9" s="9" t="str"/>
      <x:c r="J9" s="9" t="str"/>
      <x:c r="K9" s="9" t="str"/>
      <x:c r="L9" s="9" t="str">
        <x:v>S1: tokamak theory, system requirements, architecture and pilot-plant design trade-offs are carried out entirely in analysis, models and specification; the frozen scope excludes detailed subsystem engineering, fabrication, construction and commissioning, so no physical transformation occurs inside the stage; S2: intermediate judgment - because empirical validation lies outside this scope, the ordinary in-scope loop is analyse, review and revise, which runs in days to weeks; it is slower than software architecture work because each iteration requires coupled multi-physics analysis and cross-subsystem consistency checking, so it sits between the minutes-to-days and weeks-to-months anchors; S3 cost: cost and throughput diverge - generating and comparing additional design points and trade studies costs analyst and compute time and is inexpensive at the margin; S3 throughput: design-point generation parallelises well, but the integrated multi-physics analyses that actually discriminate between design points consume allocated high-performance computing time and queue, so decision-relevant throughput is constrained; S4: no construction, growth, curing, healing or qualification floor governs the scoped design work; S5: intermediate judgment - errors are corrected cheaply while the work remains analytical, but this stage sets commitments that propagate into irreversible fabrication, construction and licensing decisions, so its errors are not low-externality in the way the top anchor requires; scope caveat: frozen V1 pathway is tokamak research to pilot-plant demonstration; conventional large, compact high-field and spherical tokamaks may need explicit variants and stellarators are a separate pathway; this row is routed to fusion domain review; critical_path_role remains not_assessed.</x:v>
      </x:c>
      <x:c r="M9" s="9" t="str">
        <x:v>S1: 4 — tokamak theory, requirements, architecture, and system trade-offs are primarily information and design work; S2: 2 — integrated theory and system-design revisions ordinarily take weeks to months; S3 cost: 3 — Intermediate judgment: analytical alternatives are relatively cheap, but high-fidelity models and specialist integration impose meaningful cost; S3 throughput: analyses can run in parallel, while coupled-system review constrains convergence; S4: 4 — component fabrication and construction are excluded, leaving no intrinsic physical floor inside the stage; S5: 2 — design errors are revisable within the stage but can create material downstream rework and assurance burden; scope caveat: pilot-relevant tokamak design only, not detailed subsystem fabrication or a stellarator pathway.</x:v>
      </x:c>
      <x:c r="N9" s="9" t="str">
        <x:v>one_point_difference</x:v>
      </x:c>
      <x:c r="O9" s="9" t="str">
        <x:v>audit_trail_retained_pending_targeted_s5_adjudication</x:v>
      </x:c>
    </x:row>
    <x:row r="10" ht="204" customHeight="1">
      <x:c r="A10" s="3" t="str">
        <x:v>sp-0015</x:v>
      </x:c>
      <x:c r="B10" s="3" t="str">
        <x:v>S1</x:v>
      </x:c>
      <x:c r="C10" s="3" t="str">
        <x:v>seed-sp-0015-v1</x:v>
      </x:c>
      <x:c r="D10" s="3" t="str">
        <x:v>independent-sp-0015-v1</x:v>
      </x:c>
      <x:c r="E10" s="3" t="str"/>
      <x:c r="F10" s="3" t="str"/>
      <x:c r="G10" s="3" t="str"/>
      <x:c r="H10" s="3" t="str"/>
      <x:c r="I10" s="3" t="str"/>
      <x:c r="J10" s="3" t="str"/>
      <x:c r="K10" s="3" t="str"/>
      <x:c r="L10" s="3" t="str">
        <x:v>S1: computational modelling and simulation of plasma, components and integrated tokamak behaviour is information processing in its entirety; the frozen scope excludes physical experiment execution, diagnostics operation and fabrication; S2: intermediate judgment - reduced and surrogate models return within a day, but the high-fidelity runs that carry the scientific weight take days to weeks of allocated computing time, so the ordinary loop sits between the minutes-to-days and weeks-to-months anchors; S3 cost: cost and throughput diverge - the marginal cost of an additional run is compute time, which is small relative to any physical alternative but is not free for high-fidelity cases; S3 throughput: parameter scans and ensembles are embarrassingly parallel, yet flagship high-fidelity runs consume scarce allocated supercomputer time and queue serially, so throughput is constrained for exactly the runs that matter most; S4: no construction, growth, curing, healing or qualification floor governs elapsed time; S5: an error inside simulation is detected and corrected by rerunning at low cost with no external consequence; the risk that an unvalidated model misinforms design or experiment choice is a coupling effect and is coded at sp-0014 and sp-0016 rather than double-counted here; scope caveat: this coding covers the simulation activity itself and does not assert that simulation is predictive of the physical system; validation adequacy is a separate evidence question; this row is routed to fusion domain review; critical_path_role remains not_assessed.</x:v>
      </x:c>
      <x:c r="M10" s="3" t="str">
        <x:v>S1: 4 — computational modelling and simulation are predominantly information-processing work; S2: 3 — Intermediate judgment: many runs complete in minutes to days, while high-fidelity integrated models can require longer iteration; S3 cost: 3 — Intermediate judgment: marginal runs are cheaper than physical experiments but still consume specialized compute and expert setup; S3 throughput: ensembles can be parallelized, with compute and model-integration capacity preventing a near-free rating; S4: 4 — physical experiment execution and fabrication are excluded; S5: 3 — Intermediate judgment: runs are reversible and low-externality, but model error can materially misdirect later experiments or design; scope caveat: covers simulation support, not physical validation of the model.</x:v>
      </x:c>
      <x:c r="N10" s="3" t="str">
        <x:v>exact_agreement</x:v>
      </x:c>
      <x:c r="O10" s="3" t="str">
        <x:v>not_in_existing_backlog</x:v>
      </x:c>
    </x:row>
    <x:row r="11" ht="204" customHeight="1">
      <x:c r="A11" s="9" t="str">
        <x:v>sp-0015</x:v>
      </x:c>
      <x:c r="B11" s="9" t="str">
        <x:v>S2</x:v>
      </x:c>
      <x:c r="C11" s="9" t="str">
        <x:v>seed-sp-0015-v1</x:v>
      </x:c>
      <x:c r="D11" s="9" t="str">
        <x:v>independent-sp-0015-v1</x:v>
      </x:c>
      <x:c r="E11" s="9" t="str"/>
      <x:c r="F11" s="9" t="str"/>
      <x:c r="G11" s="9" t="str"/>
      <x:c r="H11" s="9" t="str"/>
      <x:c r="I11" s="9" t="str"/>
      <x:c r="J11" s="9" t="str"/>
      <x:c r="K11" s="9" t="str"/>
      <x:c r="L11" s="9" t="str">
        <x:v>S1: computational modelling and simulation of plasma, components and integrated tokamak behaviour is information processing in its entirety; the frozen scope excludes physical experiment execution, diagnostics operation and fabrication; S2: intermediate judgment - reduced and surrogate models return within a day, but the high-fidelity runs that carry the scientific weight take days to weeks of allocated computing time, so the ordinary loop sits between the minutes-to-days and weeks-to-months anchors; S3 cost: cost and throughput diverge - the marginal cost of an additional run is compute time, which is small relative to any physical alternative but is not free for high-fidelity cases; S3 throughput: parameter scans and ensembles are embarrassingly parallel, yet flagship high-fidelity runs consume scarce allocated supercomputer time and queue serially, so throughput is constrained for exactly the runs that matter most; S4: no construction, growth, curing, healing or qualification floor governs elapsed time; S5: an error inside simulation is detected and corrected by rerunning at low cost with no external consequence; the risk that an unvalidated model misinforms design or experiment choice is a coupling effect and is coded at sp-0014 and sp-0016 rather than double-counted here; scope caveat: this coding covers the simulation activity itself and does not assert that simulation is predictive of the physical system; validation adequacy is a separate evidence question; this row is routed to fusion domain review; critical_path_role remains not_assessed.</x:v>
      </x:c>
      <x:c r="M11" s="9" t="str">
        <x:v>S1: 4 — computational modelling and simulation are predominantly information-processing work; S2: 3 — Intermediate judgment: many runs complete in minutes to days, while high-fidelity integrated models can require longer iteration; S3 cost: 3 — Intermediate judgment: marginal runs are cheaper than physical experiments but still consume specialized compute and expert setup; S3 throughput: ensembles can be parallelized, with compute and model-integration capacity preventing a near-free rating; S4: 4 — physical experiment execution and fabrication are excluded; S5: 3 — Intermediate judgment: runs are reversible and low-externality, but model error can materially misdirect later experiments or design; scope caveat: covers simulation support, not physical validation of the model.</x:v>
      </x:c>
      <x:c r="N11" s="9" t="str">
        <x:v>exact_agreement</x:v>
      </x:c>
      <x:c r="O11" s="9" t="str">
        <x:v>not_in_existing_backlog</x:v>
      </x:c>
    </x:row>
    <x:row r="12" ht="204" customHeight="1">
      <x:c r="A12" s="3" t="str">
        <x:v>sp-0015</x:v>
      </x:c>
      <x:c r="B12" s="3" t="str">
        <x:v>S3</x:v>
      </x:c>
      <x:c r="C12" s="3" t="str">
        <x:v>seed-sp-0015-v1</x:v>
      </x:c>
      <x:c r="D12" s="3" t="str">
        <x:v>independent-sp-0015-v1</x:v>
      </x:c>
      <x:c r="E12" s="3" t="str"/>
      <x:c r="F12" s="3" t="str"/>
      <x:c r="G12" s="3" t="str"/>
      <x:c r="H12" s="3" t="str"/>
      <x:c r="I12" s="3" t="str"/>
      <x:c r="J12" s="3" t="str"/>
      <x:c r="K12" s="3" t="str"/>
      <x:c r="L12" s="3" t="str">
        <x:v>S1: computational modelling and simulation of plasma, components and integrated tokamak behaviour is information processing in its entirety; the frozen scope excludes physical experiment execution, diagnostics operation and fabrication; S2: intermediate judgment - reduced and surrogate models return within a day, but the high-fidelity runs that carry the scientific weight take days to weeks of allocated computing time, so the ordinary loop sits between the minutes-to-days and weeks-to-months anchors; S3 cost: cost and throughput diverge - the marginal cost of an additional run is compute time, which is small relative to any physical alternative but is not free for high-fidelity cases; S3 throughput: parameter scans and ensembles are embarrassingly parallel, yet flagship high-fidelity runs consume scarce allocated supercomputer time and queue serially, so throughput is constrained for exactly the runs that matter most; S4: no construction, growth, curing, healing or qualification floor governs elapsed time; S5: an error inside simulation is detected and corrected by rerunning at low cost with no external consequence; the risk that an unvalidated model misinforms design or experiment choice is a coupling effect and is coded at sp-0014 and sp-0016 rather than double-counted here; scope caveat: this coding covers the simulation activity itself and does not assert that simulation is predictive of the physical system; validation adequacy is a separate evidence question; this row is routed to fusion domain review; critical_path_role remains not_assessed.</x:v>
      </x:c>
      <x:c r="M12" s="3" t="str">
        <x:v>S1: 4 — computational modelling and simulation are predominantly information-processing work; S2: 3 — Intermediate judgment: many runs complete in minutes to days, while high-fidelity integrated models can require longer iteration; S3 cost: 3 — Intermediate judgment: marginal runs are cheaper than physical experiments but still consume specialized compute and expert setup; S3 throughput: ensembles can be parallelized, with compute and model-integration capacity preventing a near-free rating; S4: 4 — physical experiment execution and fabrication are excluded; S5: 3 — Intermediate judgment: runs are reversible and low-externality, but model error can materially misdirect later experiments or design; scope caveat: covers simulation support, not physical validation of the model.</x:v>
      </x:c>
      <x:c r="N12" s="3" t="str">
        <x:v>exact_agreement</x:v>
      </x:c>
      <x:c r="O12" s="3" t="str">
        <x:v>not_in_existing_backlog</x:v>
      </x:c>
    </x:row>
    <x:row r="13" ht="204" customHeight="1">
      <x:c r="A13" s="9" t="str">
        <x:v>sp-0015</x:v>
      </x:c>
      <x:c r="B13" s="9" t="str">
        <x:v>S4</x:v>
      </x:c>
      <x:c r="C13" s="9" t="str">
        <x:v>seed-sp-0015-v1</x:v>
      </x:c>
      <x:c r="D13" s="9" t="str">
        <x:v>independent-sp-0015-v1</x:v>
      </x:c>
      <x:c r="E13" s="9" t="str"/>
      <x:c r="F13" s="9" t="str"/>
      <x:c r="G13" s="9" t="str"/>
      <x:c r="H13" s="9" t="str"/>
      <x:c r="I13" s="9" t="str"/>
      <x:c r="J13" s="9" t="str"/>
      <x:c r="K13" s="9" t="str"/>
      <x:c r="L13" s="9" t="str">
        <x:v>S1: computational modelling and simulation of plasma, components and integrated tokamak behaviour is information processing in its entirety; the frozen scope excludes physical experiment execution, diagnostics operation and fabrication; S2: intermediate judgment - reduced and surrogate models return within a day, but the high-fidelity runs that carry the scientific weight take days to weeks of allocated computing time, so the ordinary loop sits between the minutes-to-days and weeks-to-months anchors; S3 cost: cost and throughput diverge - the marginal cost of an additional run is compute time, which is small relative to any physical alternative but is not free for high-fidelity cases; S3 throughput: parameter scans and ensembles are embarrassingly parallel, yet flagship high-fidelity runs consume scarce allocated supercomputer time and queue serially, so throughput is constrained for exactly the runs that matter most; S4: no construction, growth, curing, healing or qualification floor governs elapsed time; S5: an error inside simulation is detected and corrected by rerunning at low cost with no external consequence; the risk that an unvalidated model misinforms design or experiment choice is a coupling effect and is coded at sp-0014 and sp-0016 rather than double-counted here; scope caveat: this coding covers the simulation activity itself and does not assert that simulation is predictive of the physical system; validation adequacy is a separate evidence question; this row is routed to fusion domain review; critical_path_role remains not_assessed.</x:v>
      </x:c>
      <x:c r="M13" s="9" t="str">
        <x:v>S1: 4 — computational modelling and simulation are predominantly information-processing work; S2: 3 — Intermediate judgment: many runs complete in minutes to days, while high-fidelity integrated models can require longer iteration; S3 cost: 3 — Intermediate judgment: marginal runs are cheaper than physical experiments but still consume specialized compute and expert setup; S3 throughput: ensembles can be parallelized, with compute and model-integration capacity preventing a near-free rating; S4: 4 — physical experiment execution and fabrication are excluded; S5: 3 — Intermediate judgment: runs are reversible and low-externality, but model error can materially misdirect later experiments or design; scope caveat: covers simulation support, not physical validation of the model.</x:v>
      </x:c>
      <x:c r="N13" s="9" t="str">
        <x:v>exact_agreement</x:v>
      </x:c>
      <x:c r="O13" s="9" t="str">
        <x:v>not_in_existing_backlog</x:v>
      </x:c>
    </x:row>
    <x:row r="14" ht="204" customHeight="1">
      <x:c r="A14" s="3" t="str">
        <x:v>sp-0015</x:v>
      </x:c>
      <x:c r="B14" s="3" t="str">
        <x:v>S5</x:v>
      </x:c>
      <x:c r="C14" s="3" t="str">
        <x:v>seed-sp-0015-v1</x:v>
      </x:c>
      <x:c r="D14" s="3" t="str">
        <x:v>independent-sp-0015-v1</x:v>
      </x:c>
      <x:c r="E14" s="3" t="str"/>
      <x:c r="F14" s="3" t="str"/>
      <x:c r="G14" s="3" t="str"/>
      <x:c r="H14" s="3" t="str"/>
      <x:c r="I14" s="3" t="str"/>
      <x:c r="J14" s="3" t="str"/>
      <x:c r="K14" s="3" t="str"/>
      <x:c r="L14" s="3" t="str">
        <x:v>S1: computational modelling and simulation of plasma, components and integrated tokamak behaviour is information processing in its entirety; the frozen scope excludes physical experiment execution, diagnostics operation and fabrication; S2: intermediate judgment - reduced and surrogate models return within a day, but the high-fidelity runs that carry the scientific weight take days to weeks of allocated computing time, so the ordinary loop sits between the minutes-to-days and weeks-to-months anchors; S3 cost: cost and throughput diverge - the marginal cost of an additional run is compute time, which is small relative to any physical alternative but is not free for high-fidelity cases; S3 throughput: parameter scans and ensembles are embarrassingly parallel, yet flagship high-fidelity runs consume scarce allocated supercomputer time and queue serially, so throughput is constrained for exactly the runs that matter most; S4: no construction, growth, curing, healing or qualification floor governs elapsed time; S5: an error inside simulation is detected and corrected by rerunning at low cost with no external consequence; the risk that an unvalidated model misinforms design or experiment choice is a coupling effect and is coded at sp-0014 and sp-0016 rather than double-counted here; scope caveat: this coding covers the simulation activity itself and does not assert that simulation is predictive of the physical system; validation adequacy is a separate evidence question; this row is routed to fusion domain review; critical_path_role remains not_assessed.</x:v>
      </x:c>
      <x:c r="M14" s="3" t="str">
        <x:v>S1: 4 — computational modelling and simulation are predominantly information-processing work; S2: 3 — Intermediate judgment: many runs complete in minutes to days, while high-fidelity integrated models can require longer iteration; S3 cost: 3 — Intermediate judgment: marginal runs are cheaper than physical experiments but still consume specialized compute and expert setup; S3 throughput: ensembles can be parallelized, with compute and model-integration capacity preventing a near-free rating; S4: 4 — physical experiment execution and fabrication are excluded; S5: 3 — Intermediate judgment: runs are reversible and low-externality, but model error can materially misdirect later experiments or design; scope caveat: covers simulation support, not physical validation of the model.</x:v>
      </x:c>
      <x:c r="N14" s="3" t="str">
        <x:v>one_point_difference</x:v>
      </x:c>
      <x:c r="O14" s="3" t="str">
        <x:v>audit_trail_retained_pending_targeted_s5_adjudication</x:v>
      </x:c>
    </x:row>
    <x:row r="15" ht="236" customHeight="1">
      <x:c r="A15" s="9" t="str">
        <x:v>sp-0016</x:v>
      </x:c>
      <x:c r="B15" s="9" t="str">
        <x:v>S1</x:v>
      </x:c>
      <x:c r="C15" s="9" t="str">
        <x:v>seed-sp-0016-v1</x:v>
      </x:c>
      <x:c r="D15" s="9" t="str">
        <x:v>independent-sp-0016-v1</x:v>
      </x:c>
      <x:c r="E15" s="9" t="str"/>
      <x:c r="F15" s="9" t="str"/>
      <x:c r="G15" s="9" t="str"/>
      <x:c r="H15" s="9" t="str"/>
      <x:c r="I15" s="9" t="str"/>
      <x:c r="J15" s="9" t="str"/>
      <x:c r="K15" s="9" t="str"/>
      <x:c r="L15" s="9" t="str">
        <x:v>S1: selecting, prioritising and sequencing experiments against stated objectives is decision and analysis work; the frozen scope excludes executing experiments, collecting diagnostics and operating plasma controls; S2: intermediate judgment - a proposal or priority list can be revised within days, but the loop that reveals whether a selection was right is a tokamak experimental campaign, and on the small number of pilot-relevant devices the relevant campaigns are separated by many months and sometimes years, which is slower than the weeks-to-months anchor without being decade-scale; S3 cost: cost and throughput diverge sharply - generating and ranking candidate experiment plans is near-free at the margin; S3 throughput: the attempt that actually tests a selection consumes scarce, serially allocated shot time or run days on one of very few devices, so realised throughput is a small number of decision-relevant attempts per year and this is what holds the coding low; S4: intermediate judgment - the selection work carries no construction, growth, curing or qualification floor of its own, but it cannot be realised outside device availability windows set by campaign and shutdown schedules, so it falls short of full physical flexibility; S5: a mis-prioritised campaign consumes scarce device time that cannot be recovered and delays the research programme, which is material and largely unrecoverable cost, but it damages no hardware or people and the plan can be revised for the next campaign; scope caveat: frozen V1 pathway is tokamak research to pilot-plant demonstration; device access assumptions would differ materially for a private single-purpose device versus a shared national facility, which is a country and actor condition and not an intrinsic S judgment; this row is routed to fusion domain review; critical_path_role remains not_assessed.</x:v>
      </x:c>
      <x:c r="M15" s="9" t="str">
        <x:v>S1: 4 — selecting, prioritizing, and sequencing experiments is primarily inference and decision work; S2: 2 — useful selection feedback commonly waits weeks to months for scheduled experiments and analysis; S3 cost: 2 — proposing alternatives is cheap, but validating a selection consumes scarce facility shots; S3 throughput: selection analysis can be parallel, while the attainable validated throughput is serially gated by experiment schedules, creating a cost-throughput divergence; S4: 4 — experiment execution is excluded, so no physical process is intrinsic to the selection task itself; S5: 2 — poor selection wastes scarce shots and delays learning but is normally reversible in later scheduling; scope caveat: the score depends on treating physical execution as excluded while feedback still comes from the tokamak campaign.</x:v>
      </x:c>
      <x:c r="N15" s="9" t="str">
        <x:v>exact_agreement</x:v>
      </x:c>
      <x:c r="O15" s="9" t="str">
        <x:v>not_in_existing_backlog</x:v>
      </x:c>
    </x:row>
    <x:row r="16" ht="236" customHeight="1">
      <x:c r="A16" s="3" t="str">
        <x:v>sp-0016</x:v>
      </x:c>
      <x:c r="B16" s="3" t="str">
        <x:v>S2</x:v>
      </x:c>
      <x:c r="C16" s="3" t="str">
        <x:v>seed-sp-0016-v1</x:v>
      </x:c>
      <x:c r="D16" s="3" t="str">
        <x:v>independent-sp-0016-v1</x:v>
      </x:c>
      <x:c r="E16" s="3" t="str"/>
      <x:c r="F16" s="3" t="str"/>
      <x:c r="G16" s="3" t="str">
        <x:v>exc-sp-0016-s2</x:v>
      </x:c>
      <x:c r="H16" s="3" t="str">
        <x:v>prefer_seed</x:v>
      </x:c>
      <x:c r="I16" s="3" t="str">
        <x:v>Select S2=1. The document or schedule can be revised quickly, but the ordinary feedback that reveals whether experiment selection was sound depends on scarce device campaigns and can take many months. This is slower than the weeks-to-months midpoint without being intrinsically decade-scale.</x:v>
      </x:c>
      <x:c r="J16" s="3" t="str"/>
      <x:c r="K16" s="3" t="str">
        <x:v>owner_preference_recorded</x:v>
      </x:c>
      <x:c r="L16" s="3" t="str">
        <x:v>S1: selecting, prioritising and sequencing experiments against stated objectives is decision and analysis work; the frozen scope excludes executing experiments, collecting diagnostics and operating plasma controls; S2: intermediate judgment - a proposal or priority list can be revised within days, but the loop that reveals whether a selection was right is a tokamak experimental campaign, and on the small number of pilot-relevant devices the relevant campaigns are separated by many months and sometimes years, which is slower than the weeks-to-months anchor without being decade-scale; S3 cost: cost and throughput diverge sharply - generating and ranking candidate experiment plans is near-free at the margin; S3 throughput: the attempt that actually tests a selection consumes scarce, serially allocated shot time or run days on one of very few devices, so realised throughput is a small number of decision-relevant attempts per year and this is what holds the coding low; S4: intermediate judgment - the selection work carries no construction, growth, curing or qualification floor of its own, but it cannot be realised outside device availability windows set by campaign and shutdown schedules, so it falls short of full physical flexibility; S5: a mis-prioritised campaign consumes scarce device time that cannot be recovered and delays the research programme, which is material and largely unrecoverable cost, but it damages no hardware or people and the plan can be revised for the next campaign; scope caveat: frozen V1 pathway is tokamak research to pilot-plant demonstration; device access assumptions would differ materially for a private single-purpose device versus a shared national facility, which is a country and actor condition and not an intrinsic S judgment; this row is routed to fusion domain review; critical_path_role remains not_assessed.</x:v>
      </x:c>
      <x:c r="M16" s="3" t="str">
        <x:v>S1: 4 — selecting, prioritizing, and sequencing experiments is primarily inference and decision work; S2: 2 — useful selection feedback commonly waits weeks to months for scheduled experiments and analysis; S3 cost: 2 — proposing alternatives is cheap, but validating a selection consumes scarce facility shots; S3 throughput: selection analysis can be parallel, while the attainable validated throughput is serially gated by experiment schedules, creating a cost-throughput divergence; S4: 4 — experiment execution is excluded, so no physical process is intrinsic to the selection task itself; S5: 2 — poor selection wastes scarce shots and delays learning but is normally reversible in later scheduling; scope caveat: the score depends on treating physical execution as excluded while feedback still comes from the tokamak campaign.</x:v>
      </x:c>
      <x:c r="N16" s="3" t="str">
        <x:v>one_point_difference</x:v>
      </x:c>
      <x:c r="O16" s="3" t="str">
        <x:v>not_in_existing_backlog</x:v>
      </x:c>
    </x:row>
    <x:row r="17" ht="236" customHeight="1">
      <x:c r="A17" s="9" t="str">
        <x:v>sp-0016</x:v>
      </x:c>
      <x:c r="B17" s="9" t="str">
        <x:v>S3</x:v>
      </x:c>
      <x:c r="C17" s="9" t="str">
        <x:v>seed-sp-0016-v1</x:v>
      </x:c>
      <x:c r="D17" s="9" t="str">
        <x:v>independent-sp-0016-v1</x:v>
      </x:c>
      <x:c r="E17" s="9" t="str"/>
      <x:c r="F17" s="9" t="str"/>
      <x:c r="G17" s="9" t="str">
        <x:v>exc-sp-0016-s3</x:v>
      </x:c>
      <x:c r="H17" s="9" t="str">
        <x:v>prefer_independent</x:v>
      </x:c>
      <x:c r="I17" s="9" t="str">
        <x:v>Select S3=2. Generating candidate experiment plans is cheap, while validating them consumes scarce shots and facility time. That is exactly the rubric's meaningful-resources/scarce-system-but-repeatable case; S3=1 overweights the scarcity of the decisive subset.</x:v>
      </x:c>
      <x:c r="J17" s="9" t="str"/>
      <x:c r="K17" s="9" t="str">
        <x:v>owner_preference_recorded</x:v>
      </x:c>
      <x:c r="L17" s="9" t="str">
        <x:v>S1: selecting, prioritising and sequencing experiments against stated objectives is decision and analysis work; the frozen scope excludes executing experiments, collecting diagnostics and operating plasma controls; S2: intermediate judgment - a proposal or priority list can be revised within days, but the loop that reveals whether a selection was right is a tokamak experimental campaign, and on the small number of pilot-relevant devices the relevant campaigns are separated by many months and sometimes years, which is slower than the weeks-to-months anchor without being decade-scale; S3 cost: cost and throughput diverge sharply - generating and ranking candidate experiment plans is near-free at the margin; S3 throughput: the attempt that actually tests a selection consumes scarce, serially allocated shot time or run days on one of very few devices, so realised throughput is a small number of decision-relevant attempts per year and this is what holds the coding low; S4: intermediate judgment - the selection work carries no construction, growth, curing or qualification floor of its own, but it cannot be realised outside device availability windows set by campaign and shutdown schedules, so it falls short of full physical flexibility; S5: a mis-prioritised campaign consumes scarce device time that cannot be recovered and delays the research programme, which is material and largely unrecoverable cost, but it damages no hardware or people and the plan can be revised for the next campaign; scope caveat: frozen V1 pathway is tokamak research to pilot-plant demonstration; device access assumptions would differ materially for a private single-purpose device versus a shared national facility, which is a country and actor condition and not an intrinsic S judgment; this row is routed to fusion domain review; critical_path_role remains not_assessed.</x:v>
      </x:c>
      <x:c r="M17" s="9" t="str">
        <x:v>S1: 4 — selecting, prioritizing, and sequencing experiments is primarily inference and decision work; S2: 2 — useful selection feedback commonly waits weeks to months for scheduled experiments and analysis; S3 cost: 2 — proposing alternatives is cheap, but validating a selection consumes scarce facility shots; S3 throughput: selection analysis can be parallel, while the attainable validated throughput is serially gated by experiment schedules, creating a cost-throughput divergence; S4: 4 — experiment execution is excluded, so no physical process is intrinsic to the selection task itself; S5: 2 — poor selection wastes scarce shots and delays learning but is normally reversible in later scheduling; scope caveat: the score depends on treating physical execution as excluded while feedback still comes from the tokamak campaign.</x:v>
      </x:c>
      <x:c r="N17" s="9" t="str">
        <x:v>one_point_difference</x:v>
      </x:c>
      <x:c r="O17" s="9" t="str">
        <x:v>not_in_existing_backlog</x:v>
      </x:c>
    </x:row>
    <x:row r="18" ht="236" customHeight="1">
      <x:c r="A18" s="3" t="str">
        <x:v>sp-0016</x:v>
      </x:c>
      <x:c r="B18" s="3" t="str">
        <x:v>S4</x:v>
      </x:c>
      <x:c r="C18" s="3" t="str">
        <x:v>seed-sp-0016-v1</x:v>
      </x:c>
      <x:c r="D18" s="3" t="str">
        <x:v>independent-sp-0016-v1</x:v>
      </x:c>
      <x:c r="E18" s="3" t="str"/>
      <x:c r="F18" s="3" t="str"/>
      <x:c r="G18" s="3" t="str">
        <x:v>exc-sp-0016-s4</x:v>
      </x:c>
      <x:c r="H18" s="3" t="str">
        <x:v>prefer_independent</x:v>
      </x:c>
      <x:c r="I18" s="3" t="str">
        <x:v>Select S4=4. Physical experiment execution is explicitly outside the scoped stage. Campaign availability appropriately lowers S2 and S3, but it should not be imported again as an intrinsic physical floor inside experiment selection.</x:v>
      </x:c>
      <x:c r="J18" s="3" t="str"/>
      <x:c r="K18" s="3" t="str">
        <x:v>owner_preference_recorded</x:v>
      </x:c>
      <x:c r="L18" s="3" t="str">
        <x:v>S1: selecting, prioritising and sequencing experiments against stated objectives is decision and analysis work; the frozen scope excludes executing experiments, collecting diagnostics and operating plasma controls; S2: intermediate judgment - a proposal or priority list can be revised within days, but the loop that reveals whether a selection was right is a tokamak experimental campaign, and on the small number of pilot-relevant devices the relevant campaigns are separated by many months and sometimes years, which is slower than the weeks-to-months anchor without being decade-scale; S3 cost: cost and throughput diverge sharply - generating and ranking candidate experiment plans is near-free at the margin; S3 throughput: the attempt that actually tests a selection consumes scarce, serially allocated shot time or run days on one of very few devices, so realised throughput is a small number of decision-relevant attempts per year and this is what holds the coding low; S4: intermediate judgment - the selection work carries no construction, growth, curing or qualification floor of its own, but it cannot be realised outside device availability windows set by campaign and shutdown schedules, so it falls short of full physical flexibility; S5: a mis-prioritised campaign consumes scarce device time that cannot be recovered and delays the research programme, which is material and largely unrecoverable cost, but it damages no hardware or people and the plan can be revised for the next campaign; scope caveat: frozen V1 pathway is tokamak research to pilot-plant demonstration; device access assumptions would differ materially for a private single-purpose device versus a shared national facility, which is a country and actor condition and not an intrinsic S judgment; this row is routed to fusion domain review; critical_path_role remains not_assessed.</x:v>
      </x:c>
      <x:c r="M18" s="3" t="str">
        <x:v>S1: 4 — selecting, prioritizing, and sequencing experiments is primarily inference and decision work; S2: 2 — useful selection feedback commonly waits weeks to months for scheduled experiments and analysis; S3 cost: 2 — proposing alternatives is cheap, but validating a selection consumes scarce facility shots; S3 throughput: selection analysis can be parallel, while the attainable validated throughput is serially gated by experiment schedules, creating a cost-throughput divergence; S4: 4 — experiment execution is excluded, so no physical process is intrinsic to the selection task itself; S5: 2 — poor selection wastes scarce shots and delays learning but is normally reversible in later scheduling; scope caveat: the score depends on treating physical execution as excluded while feedback still comes from the tokamak campaign.</x:v>
      </x:c>
      <x:c r="N18" s="3" t="str">
        <x:v>one_point_difference</x:v>
      </x:c>
      <x:c r="O18" s="3" t="str">
        <x:v>not_in_existing_backlog</x:v>
      </x:c>
    </x:row>
    <x:row r="19" ht="236" customHeight="1">
      <x:c r="A19" s="9" t="str">
        <x:v>sp-0016</x:v>
      </x:c>
      <x:c r="B19" s="9" t="str">
        <x:v>S5</x:v>
      </x:c>
      <x:c r="C19" s="9" t="str">
        <x:v>seed-sp-0016-v1</x:v>
      </x:c>
      <x:c r="D19" s="9" t="str">
        <x:v>independent-sp-0016-v1</x:v>
      </x:c>
      <x:c r="E19" s="9" t="str"/>
      <x:c r="F19" s="9" t="str"/>
      <x:c r="G19" s="9" t="str"/>
      <x:c r="H19" s="9" t="str"/>
      <x:c r="I19" s="9" t="str"/>
      <x:c r="J19" s="9" t="str"/>
      <x:c r="K19" s="9" t="str"/>
      <x:c r="L19" s="9" t="str">
        <x:v>S1: selecting, prioritising and sequencing experiments against stated objectives is decision and analysis work; the frozen scope excludes executing experiments, collecting diagnostics and operating plasma controls; S2: intermediate judgment - a proposal or priority list can be revised within days, but the loop that reveals whether a selection was right is a tokamak experimental campaign, and on the small number of pilot-relevant devices the relevant campaigns are separated by many months and sometimes years, which is slower than the weeks-to-months anchor without being decade-scale; S3 cost: cost and throughput diverge sharply - generating and ranking candidate experiment plans is near-free at the margin; S3 throughput: the attempt that actually tests a selection consumes scarce, serially allocated shot time or run days on one of very few devices, so realised throughput is a small number of decision-relevant attempts per year and this is what holds the coding low; S4: intermediate judgment - the selection work carries no construction, growth, curing or qualification floor of its own, but it cannot be realised outside device availability windows set by campaign and shutdown schedules, so it falls short of full physical flexibility; S5: a mis-prioritised campaign consumes scarce device time that cannot be recovered and delays the research programme, which is material and largely unrecoverable cost, but it damages no hardware or people and the plan can be revised for the next campaign; scope caveat: frozen V1 pathway is tokamak research to pilot-plant demonstration; device access assumptions would differ materially for a private single-purpose device versus a shared national facility, which is a country and actor condition and not an intrinsic S judgment; this row is routed to fusion domain review; critical_path_role remains not_assessed.</x:v>
      </x:c>
      <x:c r="M19" s="9" t="str">
        <x:v>S1: 4 — selecting, prioritizing, and sequencing experiments is primarily inference and decision work; S2: 2 — useful selection feedback commonly waits weeks to months for scheduled experiments and analysis; S3 cost: 2 — proposing alternatives is cheap, but validating a selection consumes scarce facility shots; S3 throughput: selection analysis can be parallel, while the attainable validated throughput is serially gated by experiment schedules, creating a cost-throughput divergence; S4: 4 — experiment execution is excluded, so no physical process is intrinsic to the selection task itself; S5: 2 — poor selection wastes scarce shots and delays learning but is normally reversible in later scheduling; scope caveat: the score depends on treating physical execution as excluded while feedback still comes from the tokamak campaign.</x:v>
      </x:c>
      <x:c r="N19" s="9" t="str">
        <x:v>exact_agreement</x:v>
      </x:c>
      <x:c r="O19" s="9" t="str">
        <x:v>not_in_existing_backlog</x:v>
      </x:c>
    </x:row>
    <x:row r="20" ht="220" customHeight="1">
      <x:c r="A20" s="3" t="str">
        <x:v>sp-0017</x:v>
      </x:c>
      <x:c r="B20" s="3" t="str">
        <x:v>S1</x:v>
      </x:c>
      <x:c r="C20" s="3" t="str">
        <x:v>seed-sp-0017-v1</x:v>
      </x:c>
      <x:c r="D20" s="3" t="str">
        <x:v>independent-sp-0017-v1</x:v>
      </x:c>
      <x:c r="E20" s="3" t="str"/>
      <x:c r="F20" s="3" t="str"/>
      <x:c r="G20" s="3" t="str"/>
      <x:c r="H20" s="3" t="str"/>
      <x:c r="I20" s="3" t="str"/>
      <x:c r="J20" s="3" t="str"/>
      <x:c r="K20" s="3" t="str"/>
      <x:c r="L20" s="3" t="str">
        <x:v>S1: intermediate judgment - interpretation, inversion and analysis of diagnostic data is predominantly information work, but the design, fabrication, calibration and in-vessel installation of measurement hardware are physical and non-trivial inside this scope, so the stage is more informational than balanced without reaching the fully informational anchor; S2: cost and cadence diverge within the stage - shot-to-shot interpretation of collected data returns within hours, but any change to the measurement hardware itself waits for a vessel-access window measured in months, and the ordinary loop for the stage as a whole is therefore weeks to months; S3 cost: reanalysis of archived diagnostic data is near-free, while new diagnostic hardware is expensive to design, build, calibrate and install; S3 throughput: analysis attempts are effectively unlimited and parallel, but attempts that require new hardware or in-vessel access are limited to rare access windows, so the stage retains material but constrained throughput rather than free parallelism; S4: hardware fabrication and in-vessel access windows create meaningful and unavoidable delay for the physical half of the stage, but no single construction, curing, growth or qualification floor dominates the whole scoped stage; S5: analysis errors are cheap and reversible, but a failed or miscalibrated in-vessel diagnostic can be unrecoverable until the next access window and can invalidate data from a scarce campaign, so error consequences are material and only partly reversible; scope caveat: frozen V1 scope covers diagnostic design, preparation, use and interpretation and excludes plasma-control actuation and plant-subsystem fabrication; this row is routed to fusion domain review; critical_path_role remains not_assessed.</x:v>
      </x:c>
      <x:c r="M20" s="3" t="str">
        <x:v>S1: 2 — diagnostic progress combines measurement-system preparation and use with data interpretation; S2: 2 — preparation, experiment, calibration, and analysis loops are generally weeks to months; S3 cost: 1 — Intermediate judgment: analysis reruns are cheap, but diagnostic reconfiguration and facility shots are costly and scarce; S3 throughput: some data work is parallel, while hardware access and scheduled plasma operations sharply constrain physical attempts; S4: 2 — installation, calibration, and experiment availability impose meaningful delay without dominating all interpretation work; S5: 2 — errors can invalidate scarce shots or mislead conclusions, but are usually diagnosable and containable within research; scope caveat: includes design through interpretation and excludes plant-subsystem fabrication.</x:v>
      </x:c>
      <x:c r="N20" s="3" t="str">
        <x:v>one_point_difference</x:v>
      </x:c>
      <x:c r="O20" s="3" t="str">
        <x:v>not_in_existing_backlog</x:v>
      </x:c>
    </x:row>
    <x:row r="21" ht="220" customHeight="1">
      <x:c r="A21" s="9" t="str">
        <x:v>sp-0017</x:v>
      </x:c>
      <x:c r="B21" s="9" t="str">
        <x:v>S2</x:v>
      </x:c>
      <x:c r="C21" s="9" t="str">
        <x:v>seed-sp-0017-v1</x:v>
      </x:c>
      <x:c r="D21" s="9" t="str">
        <x:v>independent-sp-0017-v1</x:v>
      </x:c>
      <x:c r="E21" s="9" t="str"/>
      <x:c r="F21" s="9" t="str"/>
      <x:c r="G21" s="9" t="str"/>
      <x:c r="H21" s="9" t="str"/>
      <x:c r="I21" s="9" t="str"/>
      <x:c r="J21" s="9" t="str"/>
      <x:c r="K21" s="9" t="str"/>
      <x:c r="L21" s="9" t="str">
        <x:v>S1: intermediate judgment - interpretation, inversion and analysis of diagnostic data is predominantly information work, but the design, fabrication, calibration and in-vessel installation of measurement hardware are physical and non-trivial inside this scope, so the stage is more informational than balanced without reaching the fully informational anchor; S2: cost and cadence diverge within the stage - shot-to-shot interpretation of collected data returns within hours, but any change to the measurement hardware itself waits for a vessel-access window measured in months, and the ordinary loop for the stage as a whole is therefore weeks to months; S3 cost: reanalysis of archived diagnostic data is near-free, while new diagnostic hardware is expensive to design, build, calibrate and install; S3 throughput: analysis attempts are effectively unlimited and parallel, but attempts that require new hardware or in-vessel access are limited to rare access windows, so the stage retains material but constrained throughput rather than free parallelism; S4: hardware fabrication and in-vessel access windows create meaningful and unavoidable delay for the physical half of the stage, but no single construction, curing, growth or qualification floor dominates the whole scoped stage; S5: analysis errors are cheap and reversible, but a failed or miscalibrated in-vessel diagnostic can be unrecoverable until the next access window and can invalidate data from a scarce campaign, so error consequences are material and only partly reversible; scope caveat: frozen V1 scope covers diagnostic design, preparation, use and interpretation and excludes plasma-control actuation and plant-subsystem fabrication; this row is routed to fusion domain review; critical_path_role remains not_assessed.</x:v>
      </x:c>
      <x:c r="M21" s="9" t="str">
        <x:v>S1: 2 — diagnostic progress combines measurement-system preparation and use with data interpretation; S2: 2 — preparation, experiment, calibration, and analysis loops are generally weeks to months; S3 cost: 1 — Intermediate judgment: analysis reruns are cheap, but diagnostic reconfiguration and facility shots are costly and scarce; S3 throughput: some data work is parallel, while hardware access and scheduled plasma operations sharply constrain physical attempts; S4: 2 — installation, calibration, and experiment availability impose meaningful delay without dominating all interpretation work; S5: 2 — errors can invalidate scarce shots or mislead conclusions, but are usually diagnosable and containable within research; scope caveat: includes design through interpretation and excludes plant-subsystem fabrication.</x:v>
      </x:c>
      <x:c r="N21" s="9" t="str">
        <x:v>exact_agreement</x:v>
      </x:c>
      <x:c r="O21" s="9" t="str">
        <x:v>not_in_existing_backlog</x:v>
      </x:c>
    </x:row>
    <x:row r="22" ht="220" customHeight="1">
      <x:c r="A22" s="3" t="str">
        <x:v>sp-0017</x:v>
      </x:c>
      <x:c r="B22" s="3" t="str">
        <x:v>S3</x:v>
      </x:c>
      <x:c r="C22" s="3" t="str">
        <x:v>seed-sp-0017-v1</x:v>
      </x:c>
      <x:c r="D22" s="3" t="str">
        <x:v>independent-sp-0017-v1</x:v>
      </x:c>
      <x:c r="E22" s="3" t="str"/>
      <x:c r="F22" s="3" t="str"/>
      <x:c r="G22" s="3" t="str"/>
      <x:c r="H22" s="3" t="str"/>
      <x:c r="I22" s="3" t="str"/>
      <x:c r="J22" s="3" t="str"/>
      <x:c r="K22" s="3" t="str"/>
      <x:c r="L22" s="3" t="str">
        <x:v>S1: intermediate judgment - interpretation, inversion and analysis of diagnostic data is predominantly information work, but the design, fabrication, calibration and in-vessel installation of measurement hardware are physical and non-trivial inside this scope, so the stage is more informational than balanced without reaching the fully informational anchor; S2: cost and cadence diverge within the stage - shot-to-shot interpretation of collected data returns within hours, but any change to the measurement hardware itself waits for a vessel-access window measured in months, and the ordinary loop for the stage as a whole is therefore weeks to months; S3 cost: reanalysis of archived diagnostic data is near-free, while new diagnostic hardware is expensive to design, build, calibrate and install; S3 throughput: analysis attempts are effectively unlimited and parallel, but attempts that require new hardware or in-vessel access are limited to rare access windows, so the stage retains material but constrained throughput rather than free parallelism; S4: hardware fabrication and in-vessel access windows create meaningful and unavoidable delay for the physical half of the stage, but no single construction, curing, growth or qualification floor dominates the whole scoped stage; S5: analysis errors are cheap and reversible, but a failed or miscalibrated in-vessel diagnostic can be unrecoverable until the next access window and can invalidate data from a scarce campaign, so error consequences are material and only partly reversible; scope caveat: frozen V1 scope covers diagnostic design, preparation, use and interpretation and excludes plasma-control actuation and plant-subsystem fabrication; this row is routed to fusion domain review; critical_path_role remains not_assessed.</x:v>
      </x:c>
      <x:c r="M22" s="3" t="str">
        <x:v>S1: 2 — diagnostic progress combines measurement-system preparation and use with data interpretation; S2: 2 — preparation, experiment, calibration, and analysis loops are generally weeks to months; S3 cost: 1 — Intermediate judgment: analysis reruns are cheap, but diagnostic reconfiguration and facility shots are costly and scarce; S3 throughput: some data work is parallel, while hardware access and scheduled plasma operations sharply constrain physical attempts; S4: 2 — installation, calibration, and experiment availability impose meaningful delay without dominating all interpretation work; S5: 2 — errors can invalidate scarce shots or mislead conclusions, but are usually diagnosable and containable within research; scope caveat: includes design through interpretation and excludes plant-subsystem fabrication.</x:v>
      </x:c>
      <x:c r="N22" s="3" t="str">
        <x:v>one_point_difference</x:v>
      </x:c>
      <x:c r="O22" s="3" t="str">
        <x:v>not_in_existing_backlog</x:v>
      </x:c>
    </x:row>
    <x:row r="23" ht="220" customHeight="1">
      <x:c r="A23" s="9" t="str">
        <x:v>sp-0017</x:v>
      </x:c>
      <x:c r="B23" s="9" t="str">
        <x:v>S4</x:v>
      </x:c>
      <x:c r="C23" s="9" t="str">
        <x:v>seed-sp-0017-v1</x:v>
      </x:c>
      <x:c r="D23" s="9" t="str">
        <x:v>independent-sp-0017-v1</x:v>
      </x:c>
      <x:c r="E23" s="9" t="str"/>
      <x:c r="F23" s="9" t="str"/>
      <x:c r="G23" s="9" t="str"/>
      <x:c r="H23" s="9" t="str"/>
      <x:c r="I23" s="9" t="str"/>
      <x:c r="J23" s="9" t="str"/>
      <x:c r="K23" s="9" t="str"/>
      <x:c r="L23" s="9" t="str">
        <x:v>S1: intermediate judgment - interpretation, inversion and analysis of diagnostic data is predominantly information work, but the design, fabrication, calibration and in-vessel installation of measurement hardware are physical and non-trivial inside this scope, so the stage is more informational than balanced without reaching the fully informational anchor; S2: cost and cadence diverge within the stage - shot-to-shot interpretation of collected data returns within hours, but any change to the measurement hardware itself waits for a vessel-access window measured in months, and the ordinary loop for the stage as a whole is therefore weeks to months; S3 cost: reanalysis of archived diagnostic data is near-free, while new diagnostic hardware is expensive to design, build, calibrate and install; S3 throughput: analysis attempts are effectively unlimited and parallel, but attempts that require new hardware or in-vessel access are limited to rare access windows, so the stage retains material but constrained throughput rather than free parallelism; S4: hardware fabrication and in-vessel access windows create meaningful and unavoidable delay for the physical half of the stage, but no single construction, curing, growth or qualification floor dominates the whole scoped stage; S5: analysis errors are cheap and reversible, but a failed or miscalibrated in-vessel diagnostic can be unrecoverable until the next access window and can invalidate data from a scarce campaign, so error consequences are material and only partly reversible; scope caveat: frozen V1 scope covers diagnostic design, preparation, use and interpretation and excludes plasma-control actuation and plant-subsystem fabrication; this row is routed to fusion domain review; critical_path_role remains not_assessed.</x:v>
      </x:c>
      <x:c r="M23" s="9" t="str">
        <x:v>S1: 2 — diagnostic progress combines measurement-system preparation and use with data interpretation; S2: 2 — preparation, experiment, calibration, and analysis loops are generally weeks to months; S3 cost: 1 — Intermediate judgment: analysis reruns are cheap, but diagnostic reconfiguration and facility shots are costly and scarce; S3 throughput: some data work is parallel, while hardware access and scheduled plasma operations sharply constrain physical attempts; S4: 2 — installation, calibration, and experiment availability impose meaningful delay without dominating all interpretation work; S5: 2 — errors can invalidate scarce shots or mislead conclusions, but are usually diagnosable and containable within research; scope caveat: includes design through interpretation and excludes plant-subsystem fabrication.</x:v>
      </x:c>
      <x:c r="N23" s="9" t="str">
        <x:v>exact_agreement</x:v>
      </x:c>
      <x:c r="O23" s="9" t="str">
        <x:v>not_in_existing_backlog</x:v>
      </x:c>
    </x:row>
    <x:row r="24" ht="220" customHeight="1">
      <x:c r="A24" s="3" t="str">
        <x:v>sp-0017</x:v>
      </x:c>
      <x:c r="B24" s="3" t="str">
        <x:v>S5</x:v>
      </x:c>
      <x:c r="C24" s="3" t="str">
        <x:v>seed-sp-0017-v1</x:v>
      </x:c>
      <x:c r="D24" s="3" t="str">
        <x:v>independent-sp-0017-v1</x:v>
      </x:c>
      <x:c r="E24" s="3" t="str"/>
      <x:c r="F24" s="3" t="str"/>
      <x:c r="G24" s="3" t="str"/>
      <x:c r="H24" s="3" t="str"/>
      <x:c r="I24" s="3" t="str"/>
      <x:c r="J24" s="3" t="str"/>
      <x:c r="K24" s="3" t="str"/>
      <x:c r="L24" s="3" t="str">
        <x:v>S1: intermediate judgment - interpretation, inversion and analysis of diagnostic data is predominantly information work, but the design, fabrication, calibration and in-vessel installation of measurement hardware are physical and non-trivial inside this scope, so the stage is more informational than balanced without reaching the fully informational anchor; S2: cost and cadence diverge within the stage - shot-to-shot interpretation of collected data returns within hours, but any change to the measurement hardware itself waits for a vessel-access window measured in months, and the ordinary loop for the stage as a whole is therefore weeks to months; S3 cost: reanalysis of archived diagnostic data is near-free, while new diagnostic hardware is expensive to design, build, calibrate and install; S3 throughput: analysis attempts are effectively unlimited and parallel, but attempts that require new hardware or in-vessel access are limited to rare access windows, so the stage retains material but constrained throughput rather than free parallelism; S4: hardware fabrication and in-vessel access windows create meaningful and unavoidable delay for the physical half of the stage, but no single construction, curing, growth or qualification floor dominates the whole scoped stage; S5: analysis errors are cheap and reversible, but a failed or miscalibrated in-vessel diagnostic can be unrecoverable until the next access window and can invalidate data from a scarce campaign, so error consequences are material and only partly reversible; scope caveat: frozen V1 scope covers diagnostic design, preparation, use and interpretation and excludes plasma-control actuation and plant-subsystem fabrication; this row is routed to fusion domain review; critical_path_role remains not_assessed.</x:v>
      </x:c>
      <x:c r="M24" s="3" t="str">
        <x:v>S1: 2 — diagnostic progress combines measurement-system preparation and use with data interpretation; S2: 2 — preparation, experiment, calibration, and analysis loops are generally weeks to months; S3 cost: 1 — Intermediate judgment: analysis reruns are cheap, but diagnostic reconfiguration and facility shots are costly and scarce; S3 throughput: some data work is parallel, while hardware access and scheduled plasma operations sharply constrain physical attempts; S4: 2 — installation, calibration, and experiment availability impose meaningful delay without dominating all interpretation work; S5: 2 — errors can invalidate scarce shots or mislead conclusions, but are usually diagnosable and containable within research; scope caveat: includes design through interpretation and excludes plant-subsystem fabrication.</x:v>
      </x:c>
      <x:c r="N24" s="3" t="str">
        <x:v>exact_agreement</x:v>
      </x:c>
      <x:c r="O24" s="3" t="str">
        <x:v>not_in_existing_backlog</x:v>
      </x:c>
    </x:row>
    <x:row r="25" ht="252" customHeight="1">
      <x:c r="A25" s="9" t="str">
        <x:v>sp-0018</x:v>
      </x:c>
      <x:c r="B25" s="9" t="str">
        <x:v>S1</x:v>
      </x:c>
      <x:c r="C25" s="9" t="str">
        <x:v>seed-sp-0018-v1</x:v>
      </x:c>
      <x:c r="D25" s="9" t="str">
        <x:v>independent-sp-0018-v1</x:v>
      </x:c>
      <x:c r="E25" s="9" t="str"/>
      <x:c r="F25" s="9" t="str"/>
      <x:c r="G25" s="9" t="str">
        <x:v>exc-sp-0018-s1</x:v>
      </x:c>
      <x:c r="H25" s="9" t="str">
        <x:v>prefer_independent</x:v>
      </x:c>
      <x:c r="I25" s="9" t="str">
        <x:v>Select S1=2. The frozen stage combines control-law and simulator work with live actuation and testing on physical plasma. Both informational and physical work are constitutive of progress; describing the stage as predominantly informational is too strong.</x:v>
      </x:c>
      <x:c r="J25" s="9" t="str"/>
      <x:c r="K25" s="9" t="str">
        <x:v>owner_preference_recorded</x:v>
      </x:c>
      <x:c r="L25" s="9" t="str">
        <x:v>S1: intermediate judgment - control-law development, simulator-based tuning and real-time algorithm work are predominantly informational, but the frozen scope includes testing and operation on a physical plasma whose behaviour is not fully captured by models, so the stage is more informational than balanced without reaching the fully informational anchor; S2: the loop is bimodal - simulator iteration runs in hours and shot-to-shot tuning within a run day returns in tens of minutes, but validated control performance depends on campaign access on scarce devices measured in months, and the rubric directs use of the ordinary scoped loop rather than the best case, so the coding sits at the weeks-to-months anchor; S3 cost: cost and throughput diverge - simulator-based control attempts are cheap and parallel at the margin; S3 throughput: each validating attempt consumes a scarce, serially scheduled plasma discharge on one of a small number of devices, with a few tens of shots available per run day and run days separated by long intervals, so decision-relevant throughput is very low; S4: no construction, curing or qualification floor governs the stage, but pulse-repetition limits, machine conditioning between shots and between-campaign shutdowns impose meaningful unavoidable delay; S5: intermediate judgment - an ordinary control error terminates a discharge at the cost of one shot, but the characteristic failure mode on a high-current device is a disruption, which can damage plasma-facing components and impose electromagnetic loads on the machine, so errors are materially worse than containable without being catastrophic in the external-safety sense; scope caveat: frozen V1 pathway is tokamak research to pilot-plant demonstration; disruption consequences scale strongly with device current and stored energy, so a compact high-field variant may warrant a distinct profile; this row is routed to fusion domain review; critical_path_role remains not_assessed.</x:v>
      </x:c>
      <x:c r="M25" s="9" t="str">
        <x:v>S1: 2 — plasma control combines software, inference, and control design with live physical actuation on plasma; S2: 3 — Intermediate judgment: control feedback itself is sub-second and simulation iterates quickly, but learning across physical shot campaigns is slower; S3 cost: 1 — Intermediate judgment: simulated trials are affordable, while live control attempts use scarce, expensive tokamak shots; S3 throughput: simulation parallelizes, but facility access makes decisive live testing largely serial; S4: 2 — facility cadence and physical plasma operation impose meaningful delay without dominating all development work; S5: 1 — Intermediate judgment: errors may terminate shots or threaten equipment, though protection systems can often contain damage; scope caveat: combines development, testing, and operation, so the digital/live weighting is pathway-sensitive.</x:v>
      </x:c>
      <x:c r="N25" s="9" t="str">
        <x:v>one_point_difference</x:v>
      </x:c>
      <x:c r="O25" s="9" t="str">
        <x:v>not_in_existing_backlog</x:v>
      </x:c>
    </x:row>
    <x:row r="26" ht="252" customHeight="1">
      <x:c r="A26" s="3" t="str">
        <x:v>sp-0018</x:v>
      </x:c>
      <x:c r="B26" s="3" t="str">
        <x:v>S2</x:v>
      </x:c>
      <x:c r="C26" s="3" t="str">
        <x:v>seed-sp-0018-v1</x:v>
      </x:c>
      <x:c r="D26" s="3" t="str">
        <x:v>independent-sp-0018-v1</x:v>
      </x:c>
      <x:c r="E26" s="3" t="str"/>
      <x:c r="F26" s="3" t="str"/>
      <x:c r="G26" s="3" t="str">
        <x:v>exc-sp-0018-s2</x:v>
      </x:c>
      <x:c r="H26" s="3" t="str">
        <x:v>prefer_seed</x:v>
      </x:c>
      <x:c r="I26" s="3" t="str">
        <x:v>Select S2=2. Control signals and simulator loops are fast, but validated control learning spans shots and campaigns. The ordinary scoped learn-test-revise loop is therefore weeks to months rather than the faster S2=3 interpretation.</x:v>
      </x:c>
      <x:c r="J26" s="3" t="str"/>
      <x:c r="K26" s="3" t="str">
        <x:v>owner_preference_recorded</x:v>
      </x:c>
      <x:c r="L26" s="3" t="str">
        <x:v>S1: intermediate judgment - control-law development, simulator-based tuning and real-time algorithm work are predominantly informational, but the frozen scope includes testing and operation on a physical plasma whose behaviour is not fully captured by models, so the stage is more informational than balanced without reaching the fully informational anchor; S2: the loop is bimodal - simulator iteration runs in hours and shot-to-shot tuning within a run day returns in tens of minutes, but validated control performance depends on campaign access on scarce devices measured in months, and the rubric directs use of the ordinary scoped loop rather than the best case, so the coding sits at the weeks-to-months anchor; S3 cost: cost and throughput diverge - simulator-based control attempts are cheap and parallel at the margin; S3 throughput: each validating attempt consumes a scarce, serially scheduled plasma discharge on one of a small number of devices, with a few tens of shots available per run day and run days separated by long intervals, so decision-relevant throughput is very low; S4: no construction, curing or qualification floor governs the stage, but pulse-repetition limits, machine conditioning between shots and between-campaign shutdowns impose meaningful unavoidable delay; S5: intermediate judgment - an ordinary control error terminates a discharge at the cost of one shot, but the characteristic failure mode on a high-current device is a disruption, which can damage plasma-facing components and impose electromagnetic loads on the machine, so errors are materially worse than containable without being catastrophic in the external-safety sense; scope caveat: frozen V1 pathway is tokamak research to pilot-plant demonstration; disruption consequences scale strongly with device current and stored energy, so a compact high-field variant may warrant a distinct profile; this row is routed to fusion domain review; critical_path_role remains not_assessed.</x:v>
      </x:c>
      <x:c r="M26" s="3" t="str">
        <x:v>S1: 2 — plasma control combines software, inference, and control design with live physical actuation on plasma; S2: 3 — Intermediate judgment: control feedback itself is sub-second and simulation iterates quickly, but learning across physical shot campaigns is slower; S3 cost: 1 — Intermediate judgment: simulated trials are affordable, while live control attempts use scarce, expensive tokamak shots; S3 throughput: simulation parallelizes, but facility access makes decisive live testing largely serial; S4: 2 — facility cadence and physical plasma operation impose meaningful delay without dominating all development work; S5: 1 — Intermediate judgment: errors may terminate shots or threaten equipment, though protection systems can often contain damage; scope caveat: combines development, testing, and operation, so the digital/live weighting is pathway-sensitive.</x:v>
      </x:c>
      <x:c r="N26" s="3" t="str">
        <x:v>one_point_difference</x:v>
      </x:c>
      <x:c r="O26" s="3" t="str">
        <x:v>not_in_existing_backlog</x:v>
      </x:c>
    </x:row>
    <x:row r="27" ht="252" customHeight="1">
      <x:c r="A27" s="9" t="str">
        <x:v>sp-0018</x:v>
      </x:c>
      <x:c r="B27" s="9" t="str">
        <x:v>S3</x:v>
      </x:c>
      <x:c r="C27" s="9" t="str">
        <x:v>seed-sp-0018-v1</x:v>
      </x:c>
      <x:c r="D27" s="9" t="str">
        <x:v>independent-sp-0018-v1</x:v>
      </x:c>
      <x:c r="E27" s="9" t="str"/>
      <x:c r="F27" s="9" t="str"/>
      <x:c r="G27" s="9" t="str"/>
      <x:c r="H27" s="9" t="str"/>
      <x:c r="I27" s="9" t="str"/>
      <x:c r="J27" s="9" t="str"/>
      <x:c r="K27" s="9" t="str"/>
      <x:c r="L27" s="9" t="str">
        <x:v>S1: intermediate judgment - control-law development, simulator-based tuning and real-time algorithm work are predominantly informational, but the frozen scope includes testing and operation on a physical plasma whose behaviour is not fully captured by models, so the stage is more informational than balanced without reaching the fully informational anchor; S2: the loop is bimodal - simulator iteration runs in hours and shot-to-shot tuning within a run day returns in tens of minutes, but validated control performance depends on campaign access on scarce devices measured in months, and the rubric directs use of the ordinary scoped loop rather than the best case, so the coding sits at the weeks-to-months anchor; S3 cost: cost and throughput diverge - simulator-based control attempts are cheap and parallel at the margin; S3 throughput: each validating attempt consumes a scarce, serially scheduled plasma discharge on one of a small number of devices, with a few tens of shots available per run day and run days separated by long intervals, so decision-relevant throughput is very low; S4: no construction, curing or qualification floor governs the stage, but pulse-repetition limits, machine conditioning between shots and between-campaign shutdowns impose meaningful unavoidable delay; S5: intermediate judgment - an ordinary control error terminates a discharge at the cost of one shot, but the characteristic failure mode on a high-current device is a disruption, which can damage plasma-facing components and impose electromagnetic loads on the machine, so errors are materially worse than containable without being catastrophic in the external-safety sense; scope caveat: frozen V1 pathway is tokamak research to pilot-plant demonstration; disruption consequences scale strongly with device current and stored energy, so a compact high-field variant may warrant a distinct profile; this row is routed to fusion domain review; critical_path_role remains not_assessed.</x:v>
      </x:c>
      <x:c r="M27" s="9" t="str">
        <x:v>S1: 2 — plasma control combines software, inference, and control design with live physical actuation on plasma; S2: 3 — Intermediate judgment: control feedback itself is sub-second and simulation iterates quickly, but learning across physical shot campaigns is slower; S3 cost: 1 — Intermediate judgment: simulated trials are affordable, while live control attempts use scarce, expensive tokamak shots; S3 throughput: simulation parallelizes, but facility access makes decisive live testing largely serial; S4: 2 — facility cadence and physical plasma operation impose meaningful delay without dominating all development work; S5: 1 — Intermediate judgment: errors may terminate shots or threaten equipment, though protection systems can often contain damage; scope caveat: combines development, testing, and operation, so the digital/live weighting is pathway-sensitive.</x:v>
      </x:c>
      <x:c r="N27" s="9" t="str">
        <x:v>exact_agreement</x:v>
      </x:c>
      <x:c r="O27" s="9" t="str">
        <x:v>not_in_existing_backlog</x:v>
      </x:c>
    </x:row>
    <x:row r="28" ht="252" customHeight="1">
      <x:c r="A28" s="3" t="str">
        <x:v>sp-0018</x:v>
      </x:c>
      <x:c r="B28" s="3" t="str">
        <x:v>S4</x:v>
      </x:c>
      <x:c r="C28" s="3" t="str">
        <x:v>seed-sp-0018-v1</x:v>
      </x:c>
      <x:c r="D28" s="3" t="str">
        <x:v>independent-sp-0018-v1</x:v>
      </x:c>
      <x:c r="E28" s="3" t="str"/>
      <x:c r="F28" s="3" t="str"/>
      <x:c r="G28" s="3" t="str"/>
      <x:c r="H28" s="3" t="str"/>
      <x:c r="I28" s="3" t="str"/>
      <x:c r="J28" s="3" t="str"/>
      <x:c r="K28" s="3" t="str"/>
      <x:c r="L28" s="3" t="str">
        <x:v>S1: intermediate judgment - control-law development, simulator-based tuning and real-time algorithm work are predominantly informational, but the frozen scope includes testing and operation on a physical plasma whose behaviour is not fully captured by models, so the stage is more informational than balanced without reaching the fully informational anchor; S2: the loop is bimodal - simulator iteration runs in hours and shot-to-shot tuning within a run day returns in tens of minutes, but validated control performance depends on campaign access on scarce devices measured in months, and the rubric directs use of the ordinary scoped loop rather than the best case, so the coding sits at the weeks-to-months anchor; S3 cost: cost and throughput diverge - simulator-based control attempts are cheap and parallel at the margin; S3 throughput: each validating attempt consumes a scarce, serially scheduled plasma discharge on one of a small number of devices, with a few tens of shots available per run day and run days separated by long intervals, so decision-relevant throughput is very low; S4: no construction, curing or qualification floor governs the stage, but pulse-repetition limits, machine conditioning between shots and between-campaign shutdowns impose meaningful unavoidable delay; S5: intermediate judgment - an ordinary control error terminates a discharge at the cost of one shot, but the characteristic failure mode on a high-current device is a disruption, which can damage plasma-facing components and impose electromagnetic loads on the machine, so errors are materially worse than containable without being catastrophic in the external-safety sense; scope caveat: frozen V1 pathway is tokamak research to pilot-plant demonstration; disruption consequences scale strongly with device current and stored energy, so a compact high-field variant may warrant a distinct profile; this row is routed to fusion domain review; critical_path_role remains not_assessed.</x:v>
      </x:c>
      <x:c r="M28" s="3" t="str">
        <x:v>S1: 2 — plasma control combines software, inference, and control design with live physical actuation on plasma; S2: 3 — Intermediate judgment: control feedback itself is sub-second and simulation iterates quickly, but learning across physical shot campaigns is slower; S3 cost: 1 — Intermediate judgment: simulated trials are affordable, while live control attempts use scarce, expensive tokamak shots; S3 throughput: simulation parallelizes, but facility access makes decisive live testing largely serial; S4: 2 — facility cadence and physical plasma operation impose meaningful delay without dominating all development work; S5: 1 — Intermediate judgment: errors may terminate shots or threaten equipment, though protection systems can often contain damage; scope caveat: combines development, testing, and operation, so the digital/live weighting is pathway-sensitive.</x:v>
      </x:c>
      <x:c r="N28" s="3" t="str">
        <x:v>exact_agreement</x:v>
      </x:c>
      <x:c r="O28" s="3" t="str">
        <x:v>not_in_existing_backlog</x:v>
      </x:c>
    </x:row>
    <x:row r="29" ht="252" customHeight="1">
      <x:c r="A29" s="9" t="str">
        <x:v>sp-0018</x:v>
      </x:c>
      <x:c r="B29" s="9" t="str">
        <x:v>S5</x:v>
      </x:c>
      <x:c r="C29" s="9" t="str">
        <x:v>seed-sp-0018-v1</x:v>
      </x:c>
      <x:c r="D29" s="9" t="str">
        <x:v>independent-sp-0018-v1</x:v>
      </x:c>
      <x:c r="E29" s="9" t="str"/>
      <x:c r="F29" s="9" t="str"/>
      <x:c r="G29" s="9" t="str"/>
      <x:c r="H29" s="9" t="str"/>
      <x:c r="I29" s="9" t="str"/>
      <x:c r="J29" s="9" t="str"/>
      <x:c r="K29" s="9" t="str"/>
      <x:c r="L29" s="9" t="str">
        <x:v>S1: intermediate judgment - control-law development, simulator-based tuning and real-time algorithm work are predominantly informational, but the frozen scope includes testing and operation on a physical plasma whose behaviour is not fully captured by models, so the stage is more informational than balanced without reaching the fully informational anchor; S2: the loop is bimodal - simulator iteration runs in hours and shot-to-shot tuning within a run day returns in tens of minutes, but validated control performance depends on campaign access on scarce devices measured in months, and the rubric directs use of the ordinary scoped loop rather than the best case, so the coding sits at the weeks-to-months anchor; S3 cost: cost and throughput diverge - simulator-based control attempts are cheap and parallel at the margin; S3 throughput: each validating attempt consumes a scarce, serially scheduled plasma discharge on one of a small number of devices, with a few tens of shots available per run day and run days separated by long intervals, so decision-relevant throughput is very low; S4: no construction, curing or qualification floor governs the stage, but pulse-repetition limits, machine conditioning between shots and between-campaign shutdowns impose meaningful unavoidable delay; S5: intermediate judgment - an ordinary control error terminates a discharge at the cost of one shot, but the characteristic failure mode on a high-current device is a disruption, which can damage plasma-facing components and impose electromagnetic loads on the machine, so errors are materially worse than containable without being catastrophic in the external-safety sense; scope caveat: frozen V1 pathway is tokamak research to pilot-plant demonstration; disruption consequences scale strongly with device current and stored energy, so a compact high-field variant may warrant a distinct profile; this row is routed to fusion domain review; critical_path_role remains not_assessed.</x:v>
      </x:c>
      <x:c r="M29" s="9" t="str">
        <x:v>S1: 2 — plasma control combines software, inference, and control design with live physical actuation on plasma; S2: 3 — Intermediate judgment: control feedback itself is sub-second and simulation iterates quickly, but learning across physical shot campaigns is slower; S3 cost: 1 — Intermediate judgment: simulated trials are affordable, while live control attempts use scarce, expensive tokamak shots; S3 throughput: simulation parallelizes, but facility access makes decisive live testing largely serial; S4: 2 — facility cadence and physical plasma operation impose meaningful delay without dominating all development work; S5: 1 — Intermediate judgment: errors may terminate shots or threaten equipment, though protection systems can often contain damage; scope caveat: combines development, testing, and operation, so the digital/live weighting is pathway-sensitive.</x:v>
      </x:c>
      <x:c r="N29" s="9" t="str">
        <x:v>exact_agreement</x:v>
      </x:c>
      <x:c r="O29" s="9" t="str">
        <x:v>not_in_existing_backlog</x:v>
      </x:c>
    </x:row>
    <x:row r="30" ht="236" customHeight="1">
      <x:c r="A30" s="3" t="str">
        <x:v>sp-0019</x:v>
      </x:c>
      <x:c r="B30" s="3" t="str">
        <x:v>S1</x:v>
      </x:c>
      <x:c r="C30" s="3" t="str">
        <x:v>seed-sp-0019-v1</x:v>
      </x:c>
      <x:c r="D30" s="3" t="str">
        <x:v>independent-sp-0019-v1</x:v>
      </x:c>
      <x:c r="E30" s="3" t="str"/>
      <x:c r="F30" s="3" t="str"/>
      <x:c r="G30" s="3" t="str"/>
      <x:c r="H30" s="3" t="str"/>
      <x:c r="I30" s="3" t="str"/>
      <x:c r="J30" s="3" t="str"/>
      <x:c r="K30" s="3" t="str"/>
      <x:c r="L30" s="3" t="str">
        <x:v>S1: intermediate judgment - computational screening, database-driven candidate generation and property prediction increasingly dominate the front of the funnel and are informational, but a screening result is only meaningful once candidates are synthesised and characterised, so the stage is more informational than balanced without reaching the fully informational anchor; S2: computational screening loops close in days, but the ordinary loop that produces a usable screening result, namely synthesise a candidate and characterise it, runs in weeks to months; S3 cost: cost and throughput diverge - computational screening is near-free per candidate, while synthesis and characterisation of a candidate cost real material, instrument time and skilled labour; S3 throughput: computational screening is massively parallel, but physical synthesis and characterisation attempts queue on scarce instruments and remain repeatable rather than free, so the stage sits at meaningful-resources-but-repeatable; S4: sample synthesis, heat treatment and characterisation impose real durations, but no single construction, growth, curing or qualification floor dominates the scoped screening stage; S5: intermediate judgment - errors inside screening are inexpensive to correct and carry no external consequence, so the stage is close to the top anchor, but a false negative silently removes a candidate from the pipeline and is rarely revisited, which is a real and hard-to-reverse loss; scope caveat: frozen V1 scope is discovery and screening only and explicitly excludes formal qualification, component fabrication and production-scale supply; screening under fusion-relevant neutron conditions is limited by the absence of a representative irradiation environment, which is coded at sp-0020; this row is routed to fusion domain review; critical_path_role remains not_assessed.</x:v>
      </x:c>
      <x:c r="M30" s="3" t="str">
        <x:v>S1: 2 — discovery and screening combine computational inference with physical synthesis, exposure, and characterization; S2: 2 — ordinary material screen cycles are measured in weeks to months; S3 cost: 2 — individual screens require samples and specialized equipment but remain repeatable; S3 throughput: multiple candidates can run in parallel, while access to tokamak-relevant environments constrains throughput; S4: 2 — synthesis and testing impose meaningful physical delay without the formal qualification floor dominating; S5: 3 — Intermediate judgment: screening errors are usually reversible through reruns, but can waste scarce samples or prematurely discard candidates; scope caveat: excludes formal qualification, component fabrication, and production-scale supply.</x:v>
      </x:c>
      <x:c r="N30" s="3" t="str">
        <x:v>one_point_difference</x:v>
      </x:c>
      <x:c r="O30" s="3" t="str">
        <x:v>not_in_existing_backlog</x:v>
      </x:c>
    </x:row>
    <x:row r="31" ht="236" customHeight="1">
      <x:c r="A31" s="9" t="str">
        <x:v>sp-0019</x:v>
      </x:c>
      <x:c r="B31" s="9" t="str">
        <x:v>S2</x:v>
      </x:c>
      <x:c r="C31" s="9" t="str">
        <x:v>seed-sp-0019-v1</x:v>
      </x:c>
      <x:c r="D31" s="9" t="str">
        <x:v>independent-sp-0019-v1</x:v>
      </x:c>
      <x:c r="E31" s="9" t="str"/>
      <x:c r="F31" s="9" t="str"/>
      <x:c r="G31" s="9" t="str"/>
      <x:c r="H31" s="9" t="str"/>
      <x:c r="I31" s="9" t="str"/>
      <x:c r="J31" s="9" t="str"/>
      <x:c r="K31" s="9" t="str"/>
      <x:c r="L31" s="9" t="str">
        <x:v>S1: intermediate judgment - computational screening, database-driven candidate generation and property prediction increasingly dominate the front of the funnel and are informational, but a screening result is only meaningful once candidates are synthesised and characterised, so the stage is more informational than balanced without reaching the fully informational anchor; S2: computational screening loops close in days, but the ordinary loop that produces a usable screening result, namely synthesise a candidate and characterise it, runs in weeks to months; S3 cost: cost and throughput diverge - computational screening is near-free per candidate, while synthesis and characterisation of a candidate cost real material, instrument time and skilled labour; S3 throughput: computational screening is massively parallel, but physical synthesis and characterisation attempts queue on scarce instruments and remain repeatable rather than free, so the stage sits at meaningful-resources-but-repeatable; S4: sample synthesis, heat treatment and characterisation impose real durations, but no single construction, growth, curing or qualification floor dominates the scoped screening stage; S5: intermediate judgment - errors inside screening are inexpensive to correct and carry no external consequence, so the stage is close to the top anchor, but a false negative silently removes a candidate from the pipeline and is rarely revisited, which is a real and hard-to-reverse loss; scope caveat: frozen V1 scope is discovery and screening only and explicitly excludes formal qualification, component fabrication and production-scale supply; screening under fusion-relevant neutron conditions is limited by the absence of a representative irradiation environment, which is coded at sp-0020; this row is routed to fusion domain review; critical_path_role remains not_assessed.</x:v>
      </x:c>
      <x:c r="M31" s="9" t="str">
        <x:v>S1: 2 — discovery and screening combine computational inference with physical synthesis, exposure, and characterization; S2: 2 — ordinary material screen cycles are measured in weeks to months; S3 cost: 2 — individual screens require samples and specialized equipment but remain repeatable; S3 throughput: multiple candidates can run in parallel, while access to tokamak-relevant environments constrains throughput; S4: 2 — synthesis and testing impose meaningful physical delay without the formal qualification floor dominating; S5: 3 — Intermediate judgment: screening errors are usually reversible through reruns, but can waste scarce samples or prematurely discard candidates; scope caveat: excludes formal qualification, component fabrication, and production-scale supply.</x:v>
      </x:c>
      <x:c r="N31" s="9" t="str">
        <x:v>exact_agreement</x:v>
      </x:c>
      <x:c r="O31" s="9" t="str">
        <x:v>not_in_existing_backlog</x:v>
      </x:c>
    </x:row>
    <x:row r="32" ht="236" customHeight="1">
      <x:c r="A32" s="3" t="str">
        <x:v>sp-0019</x:v>
      </x:c>
      <x:c r="B32" s="3" t="str">
        <x:v>S3</x:v>
      </x:c>
      <x:c r="C32" s="3" t="str">
        <x:v>seed-sp-0019-v1</x:v>
      </x:c>
      <x:c r="D32" s="3" t="str">
        <x:v>independent-sp-0019-v1</x:v>
      </x:c>
      <x:c r="E32" s="3" t="str"/>
      <x:c r="F32" s="3" t="str"/>
      <x:c r="G32" s="3" t="str"/>
      <x:c r="H32" s="3" t="str"/>
      <x:c r="I32" s="3" t="str"/>
      <x:c r="J32" s="3" t="str"/>
      <x:c r="K32" s="3" t="str"/>
      <x:c r="L32" s="3" t="str">
        <x:v>S1: intermediate judgment - computational screening, database-driven candidate generation and property prediction increasingly dominate the front of the funnel and are informational, but a screening result is only meaningful once candidates are synthesised and characterised, so the stage is more informational than balanced without reaching the fully informational anchor; S2: computational screening loops close in days, but the ordinary loop that produces a usable screening result, namely synthesise a candidate and characterise it, runs in weeks to months; S3 cost: cost and throughput diverge - computational screening is near-free per candidate, while synthesis and characterisation of a candidate cost real material, instrument time and skilled labour; S3 throughput: computational screening is massively parallel, but physical synthesis and characterisation attempts queue on scarce instruments and remain repeatable rather than free, so the stage sits at meaningful-resources-but-repeatable; S4: sample synthesis, heat treatment and characterisation impose real durations, but no single construction, growth, curing or qualification floor dominates the scoped screening stage; S5: intermediate judgment - errors inside screening are inexpensive to correct and carry no external consequence, so the stage is close to the top anchor, but a false negative silently removes a candidate from the pipeline and is rarely revisited, which is a real and hard-to-reverse loss; scope caveat: frozen V1 scope is discovery and screening only and explicitly excludes formal qualification, component fabrication and production-scale supply; screening under fusion-relevant neutron conditions is limited by the absence of a representative irradiation environment, which is coded at sp-0020; this row is routed to fusion domain review; critical_path_role remains not_assessed.</x:v>
      </x:c>
      <x:c r="M32" s="3" t="str">
        <x:v>S1: 2 — discovery and screening combine computational inference with physical synthesis, exposure, and characterization; S2: 2 — ordinary material screen cycles are measured in weeks to months; S3 cost: 2 — individual screens require samples and specialized equipment but remain repeatable; S3 throughput: multiple candidates can run in parallel, while access to tokamak-relevant environments constrains throughput; S4: 2 — synthesis and testing impose meaningful physical delay without the formal qualification floor dominating; S5: 3 — Intermediate judgment: screening errors are usually reversible through reruns, but can waste scarce samples or prematurely discard candidates; scope caveat: excludes formal qualification, component fabrication, and production-scale supply.</x:v>
      </x:c>
      <x:c r="N32" s="3" t="str">
        <x:v>exact_agreement</x:v>
      </x:c>
      <x:c r="O32" s="3" t="str">
        <x:v>not_in_existing_backlog</x:v>
      </x:c>
    </x:row>
    <x:row r="33" ht="236" customHeight="1">
      <x:c r="A33" s="9" t="str">
        <x:v>sp-0019</x:v>
      </x:c>
      <x:c r="B33" s="9" t="str">
        <x:v>S4</x:v>
      </x:c>
      <x:c r="C33" s="9" t="str">
        <x:v>seed-sp-0019-v1</x:v>
      </x:c>
      <x:c r="D33" s="9" t="str">
        <x:v>independent-sp-0019-v1</x:v>
      </x:c>
      <x:c r="E33" s="9" t="str"/>
      <x:c r="F33" s="9" t="str"/>
      <x:c r="G33" s="9" t="str"/>
      <x:c r="H33" s="9" t="str"/>
      <x:c r="I33" s="9" t="str"/>
      <x:c r="J33" s="9" t="str"/>
      <x:c r="K33" s="9" t="str"/>
      <x:c r="L33" s="9" t="str">
        <x:v>S1: intermediate judgment - computational screening, database-driven candidate generation and property prediction increasingly dominate the front of the funnel and are informational, but a screening result is only meaningful once candidates are synthesised and characterised, so the stage is more informational than balanced without reaching the fully informational anchor; S2: computational screening loops close in days, but the ordinary loop that produces a usable screening result, namely synthesise a candidate and characterise it, runs in weeks to months; S3 cost: cost and throughput diverge - computational screening is near-free per candidate, while synthesis and characterisation of a candidate cost real material, instrument time and skilled labour; S3 throughput: computational screening is massively parallel, but physical synthesis and characterisation attempts queue on scarce instruments and remain repeatable rather than free, so the stage sits at meaningful-resources-but-repeatable; S4: sample synthesis, heat treatment and characterisation impose real durations, but no single construction, growth, curing or qualification floor dominates the scoped screening stage; S5: intermediate judgment - errors inside screening are inexpensive to correct and carry no external consequence, so the stage is close to the top anchor, but a false negative silently removes a candidate from the pipeline and is rarely revisited, which is a real and hard-to-reverse loss; scope caveat: frozen V1 scope is discovery and screening only and explicitly excludes formal qualification, component fabrication and production-scale supply; screening under fusion-relevant neutron conditions is limited by the absence of a representative irradiation environment, which is coded at sp-0020; this row is routed to fusion domain review; critical_path_role remains not_assessed.</x:v>
      </x:c>
      <x:c r="M33" s="9" t="str">
        <x:v>S1: 2 — discovery and screening combine computational inference with physical synthesis, exposure, and characterization; S2: 2 — ordinary material screen cycles are measured in weeks to months; S3 cost: 2 — individual screens require samples and specialized equipment but remain repeatable; S3 throughput: multiple candidates can run in parallel, while access to tokamak-relevant environments constrains throughput; S4: 2 — synthesis and testing impose meaningful physical delay without the formal qualification floor dominating; S5: 3 — Intermediate judgment: screening errors are usually reversible through reruns, but can waste scarce samples or prematurely discard candidates; scope caveat: excludes formal qualification, component fabrication, and production-scale supply.</x:v>
      </x:c>
      <x:c r="N33" s="9" t="str">
        <x:v>exact_agreement</x:v>
      </x:c>
      <x:c r="O33" s="9" t="str">
        <x:v>not_in_existing_backlog</x:v>
      </x:c>
    </x:row>
    <x:row r="34" ht="236" customHeight="1">
      <x:c r="A34" s="3" t="str">
        <x:v>sp-0019</x:v>
      </x:c>
      <x:c r="B34" s="3" t="str">
        <x:v>S5</x:v>
      </x:c>
      <x:c r="C34" s="3" t="str">
        <x:v>seed-sp-0019-v1</x:v>
      </x:c>
      <x:c r="D34" s="3" t="str">
        <x:v>independent-sp-0019-v1</x:v>
      </x:c>
      <x:c r="E34" s="3" t="str"/>
      <x:c r="F34" s="3" t="str"/>
      <x:c r="G34" s="3" t="str"/>
      <x:c r="H34" s="3" t="str"/>
      <x:c r="I34" s="3" t="str"/>
      <x:c r="J34" s="3" t="str"/>
      <x:c r="K34" s="3" t="str"/>
      <x:c r="L34" s="3" t="str">
        <x:v>S1: intermediate judgment - computational screening, database-driven candidate generation and property prediction increasingly dominate the front of the funnel and are informational, but a screening result is only meaningful once candidates are synthesised and characterised, so the stage is more informational than balanced without reaching the fully informational anchor; S2: computational screening loops close in days, but the ordinary loop that produces a usable screening result, namely synthesise a candidate and characterise it, runs in weeks to months; S3 cost: cost and throughput diverge - computational screening is near-free per candidate, while synthesis and characterisation of a candidate cost real material, instrument time and skilled labour; S3 throughput: computational screening is massively parallel, but physical synthesis and characterisation attempts queue on scarce instruments and remain repeatable rather than free, so the stage sits at meaningful-resources-but-repeatable; S4: sample synthesis, heat treatment and characterisation impose real durations, but no single construction, growth, curing or qualification floor dominates the scoped screening stage; S5: intermediate judgment - errors inside screening are inexpensive to correct and carry no external consequence, so the stage is close to the top anchor, but a false negative silently removes a candidate from the pipeline and is rarely revisited, which is a real and hard-to-reverse loss; scope caveat: frozen V1 scope is discovery and screening only and explicitly excludes formal qualification, component fabrication and production-scale supply; screening under fusion-relevant neutron conditions is limited by the absence of a representative irradiation environment, which is coded at sp-0020; this row is routed to fusion domain review; critical_path_role remains not_assessed.</x:v>
      </x:c>
      <x:c r="M34" s="3" t="str">
        <x:v>S1: 2 — discovery and screening combine computational inference with physical synthesis, exposure, and characterization; S2: 2 — ordinary material screen cycles are measured in weeks to months; S3 cost: 2 — individual screens require samples and specialized equipment but remain repeatable; S3 throughput: multiple candidates can run in parallel, while access to tokamak-relevant environments constrains throughput; S4: 2 — synthesis and testing impose meaningful physical delay without the formal qualification floor dominating; S5: 3 — Intermediate judgment: screening errors are usually reversible through reruns, but can waste scarce samples or prematurely discard candidates; scope caveat: excludes formal qualification, component fabrication, and production-scale supply.</x:v>
      </x:c>
      <x:c r="N34" s="3" t="str">
        <x:v>exact_agreement</x:v>
      </x:c>
      <x:c r="O34" s="3" t="str">
        <x:v>not_in_existing_backlog</x:v>
      </x:c>
    </x:row>
    <x:row r="35" ht="252" customHeight="1">
      <x:c r="A35" s="9" t="str">
        <x:v>sp-0020</x:v>
      </x:c>
      <x:c r="B35" s="9" t="str">
        <x:v>S1</x:v>
      </x:c>
      <x:c r="C35" s="9" t="str">
        <x:v>seed-sp-0020-v1</x:v>
      </x:c>
      <x:c r="D35" s="9" t="str">
        <x:v>independent-sp-0020-v1</x:v>
      </x:c>
      <x:c r="E35" s="9" t="str"/>
      <x:c r="F35" s="9" t="str"/>
      <x:c r="G35" s="9" t="str"/>
      <x:c r="H35" s="9" t="str"/>
      <x:c r="I35" s="9" t="str"/>
      <x:c r="J35" s="9" t="str"/>
      <x:c r="K35" s="9" t="str"/>
      <x:c r="L35" s="9" t="str">
        <x:v>S1: intermediate judgment - test design, data analysis and surrogate modelling carry real and growing weight, which keeps this above the fully physical anchor, but qualification progress is established by physically exposing specimens to representative loads and environments and cannot be produced by analysis alone; S2: the ordinary loop is years to decades - irradiation campaigns accumulate damage over years, post-irradiation examination follows, and no fusion-spectrum neutron source operates at qualification scale, so the loop that would settle fusion-relevant material behaviour does not yet close at all; S3 cost: cost and throughput diverge - inside a campaign the marginal cost of an additional small specimen is modest and many specimens are irradiated together, which is why small-specimen test technology exists; S3 throughput: campaign opportunities themselves are scarce, expensive and years long in a handful of facilities, so realised decision-relevant throughput is very low and this is what holds the coding at the low end despite per-specimen parallelism; S4: clock time is dominated by physical floors - displacement damage accumulates at a fixed rate that no amount of information can compress, and post-irradiation examination additionally requires cooling and hot-cell access; S5: intermediate judgment - an individual failed test is informative rather than harmful, but an error that spoils a specimen matrix forfeits years of irradiation time that cannot be recovered, and an unsound qualification conclusion propagates into build and licensing commitments; scope caveat: frozen V1 scope is qualification against pilot-relevant loads and environments and excludes discovery, fabrication and commercial-fleet qualification; the absence of a fusion-spectrum irradiation facility is a stated structural condition of this coding and would change materially if such a facility entered service, which is an explicit revisit trigger for later review; this row is routed to fusion domain review; critical_path_role remains not_assessed.</x:v>
      </x:c>
      <x:c r="M35" s="9" t="str">
        <x:v>S1: 0 — progress is established primarily through physical exposure, testing, and accumulated operating evidence; S2: 0 — pilot-relevant qualification cycles can extend from years toward decades; S3 cost: 0 — representative material tests require scarce, expensive facilities and specimens; S3 throughput: attainable attempts are limited and often serial because relevant environments and long exposures cannot be freely replicated; S4: 0 — qualification and accumulated exposure floors dominate elapsed time; S5: 0 — qualification errors can admit unsafe or unreliable materials with severe and potentially irreversible downstream consequences; scope caveat: pilot-relevant qualification only, not initial screening or commercial-fleet qualification.</x:v>
      </x:c>
      <x:c r="N35" s="9" t="str">
        <x:v>one_point_difference</x:v>
      </x:c>
      <x:c r="O35" s="9" t="str">
        <x:v>not_in_existing_backlog</x:v>
      </x:c>
    </x:row>
    <x:row r="36" ht="252" customHeight="1">
      <x:c r="A36" s="3" t="str">
        <x:v>sp-0020</x:v>
      </x:c>
      <x:c r="B36" s="3" t="str">
        <x:v>S2</x:v>
      </x:c>
      <x:c r="C36" s="3" t="str">
        <x:v>seed-sp-0020-v1</x:v>
      </x:c>
      <x:c r="D36" s="3" t="str">
        <x:v>independent-sp-0020-v1</x:v>
      </x:c>
      <x:c r="E36" s="3" t="str"/>
      <x:c r="F36" s="3" t="str"/>
      <x:c r="G36" s="3" t="str">
        <x:v>exc-sp-0020-s2</x:v>
      </x:c>
      <x:c r="H36" s="3" t="str">
        <x:v>needs_better_evidence</x:v>
      </x:c>
      <x:c r="I36" s="3" t="str">
        <x:v>Retain provisional S2=0 because both coders agree and the fusion evidence base points to multi-year irradiation and post-irradiation examination. Do not promote the value until qualification-facility and exposure-time sources are verified and assigned canonical source IDs.</x:v>
      </x:c>
      <x:c r="J36" s="3" t="str"/>
      <x:c r="K36" s="3" t="str">
        <x:v>unresolved</x:v>
      </x:c>
      <x:c r="L36" s="3" t="str">
        <x:v>S1: intermediate judgment - test design, data analysis and surrogate modelling carry real and growing weight, which keeps this above the fully physical anchor, but qualification progress is established by physically exposing specimens to representative loads and environments and cannot be produced by analysis alone; S2: the ordinary loop is years to decades - irradiation campaigns accumulate damage over years, post-irradiation examination follows, and no fusion-spectrum neutron source operates at qualification scale, so the loop that would settle fusion-relevant material behaviour does not yet close at all; S3 cost: cost and throughput diverge - inside a campaign the marginal cost of an additional small specimen is modest and many specimens are irradiated together, which is why small-specimen test technology exists; S3 throughput: campaign opportunities themselves are scarce, expensive and years long in a handful of facilities, so realised decision-relevant throughput is very low and this is what holds the coding at the low end despite per-specimen parallelism; S4: clock time is dominated by physical floors - displacement damage accumulates at a fixed rate that no amount of information can compress, and post-irradiation examination additionally requires cooling and hot-cell access; S5: intermediate judgment - an individual failed test is informative rather than harmful, but an error that spoils a specimen matrix forfeits years of irradiation time that cannot be recovered, and an unsound qualification conclusion propagates into build and licensing commitments; scope caveat: frozen V1 scope is qualification against pilot-relevant loads and environments and excludes discovery, fabrication and commercial-fleet qualification; the absence of a fusion-spectrum irradiation facility is a stated structural condition of this coding and would change materially if such a facility entered service, which is an explicit revisit trigger for later review; this row is routed to fusion domain review; critical_path_role remains not_assessed.</x:v>
      </x:c>
      <x:c r="M36" s="3" t="str">
        <x:v>S1: 0 — progress is established primarily through physical exposure, testing, and accumulated operating evidence; S2: 0 — pilot-relevant qualification cycles can extend from years toward decades; S3 cost: 0 — representative material tests require scarce, expensive facilities and specimens; S3 throughput: attainable attempts are limited and often serial because relevant environments and long exposures cannot be freely replicated; S4: 0 — qualification and accumulated exposure floors dominate elapsed time; S5: 0 — qualification errors can admit unsafe or unreliable materials with severe and potentially irreversible downstream consequences; scope caveat: pilot-relevant qualification only, not initial screening or commercial-fleet qualification.</x:v>
      </x:c>
      <x:c r="N36" s="3" t="str">
        <x:v>exact_agreement</x:v>
      </x:c>
      <x:c r="O36" s="3" t="str">
        <x:v>not_in_existing_backlog</x:v>
      </x:c>
    </x:row>
    <x:row r="37" ht="252" customHeight="1">
      <x:c r="A37" s="9" t="str">
        <x:v>sp-0020</x:v>
      </x:c>
      <x:c r="B37" s="9" t="str">
        <x:v>S3</x:v>
      </x:c>
      <x:c r="C37" s="9" t="str">
        <x:v>seed-sp-0020-v1</x:v>
      </x:c>
      <x:c r="D37" s="9" t="str">
        <x:v>independent-sp-0020-v1</x:v>
      </x:c>
      <x:c r="E37" s="9" t="str"/>
      <x:c r="F37" s="9" t="str"/>
      <x:c r="G37" s="9" t="str"/>
      <x:c r="H37" s="9" t="str"/>
      <x:c r="I37" s="9" t="str"/>
      <x:c r="J37" s="9" t="str"/>
      <x:c r="K37" s="9" t="str"/>
      <x:c r="L37" s="9" t="str">
        <x:v>S1: intermediate judgment - test design, data analysis and surrogate modelling carry real and growing weight, which keeps this above the fully physical anchor, but qualification progress is established by physically exposing specimens to representative loads and environments and cannot be produced by analysis alone; S2: the ordinary loop is years to decades - irradiation campaigns accumulate damage over years, post-irradiation examination follows, and no fusion-spectrum neutron source operates at qualification scale, so the loop that would settle fusion-relevant material behaviour does not yet close at all; S3 cost: cost and throughput diverge - inside a campaign the marginal cost of an additional small specimen is modest and many specimens are irradiated together, which is why small-specimen test technology exists; S3 throughput: campaign opportunities themselves are scarce, expensive and years long in a handful of facilities, so realised decision-relevant throughput is very low and this is what holds the coding at the low end despite per-specimen parallelism; S4: clock time is dominated by physical floors - displacement damage accumulates at a fixed rate that no amount of information can compress, and post-irradiation examination additionally requires cooling and hot-cell access; S5: intermediate judgment - an individual failed test is informative rather than harmful, but an error that spoils a specimen matrix forfeits years of irradiation time that cannot be recovered, and an unsound qualification conclusion propagates into build and licensing commitments; scope caveat: frozen V1 scope is qualification against pilot-relevant loads and environments and excludes discovery, fabrication and commercial-fleet qualification; the absence of a fusion-spectrum irradiation facility is a stated structural condition of this coding and would change materially if such a facility entered service, which is an explicit revisit trigger for later review; this row is routed to fusion domain review; critical_path_role remains not_assessed.</x:v>
      </x:c>
      <x:c r="M37" s="9" t="str">
        <x:v>S1: 0 — progress is established primarily through physical exposure, testing, and accumulated operating evidence; S2: 0 — pilot-relevant qualification cycles can extend from years toward decades; S3 cost: 0 — representative material tests require scarce, expensive facilities and specimens; S3 throughput: attainable attempts are limited and often serial because relevant environments and long exposures cannot be freely replicated; S4: 0 — qualification and accumulated exposure floors dominate elapsed time; S5: 0 — qualification errors can admit unsafe or unreliable materials with severe and potentially irreversible downstream consequences; scope caveat: pilot-relevant qualification only, not initial screening or commercial-fleet qualification.</x:v>
      </x:c>
      <x:c r="N37" s="9" t="str">
        <x:v>one_point_difference</x:v>
      </x:c>
      <x:c r="O37" s="9" t="str">
        <x:v>not_in_existing_backlog</x:v>
      </x:c>
    </x:row>
    <x:row r="38" ht="252" customHeight="1">
      <x:c r="A38" s="3" t="str">
        <x:v>sp-0020</x:v>
      </x:c>
      <x:c r="B38" s="3" t="str">
        <x:v>S4</x:v>
      </x:c>
      <x:c r="C38" s="3" t="str">
        <x:v>seed-sp-0020-v1</x:v>
      </x:c>
      <x:c r="D38" s="3" t="str">
        <x:v>independent-sp-0020-v1</x:v>
      </x:c>
      <x:c r="E38" s="3" t="str"/>
      <x:c r="F38" s="3" t="str"/>
      <x:c r="G38" s="3" t="str">
        <x:v>exc-sp-0020-s4</x:v>
      </x:c>
      <x:c r="H38" s="3" t="str">
        <x:v>needs_better_evidence</x:v>
      </x:c>
      <x:c r="I38" s="3" t="str">
        <x:v>Retain provisional S4=0 because neutron exposure, damage accumulation, cooling and post-irradiation examination are genuine physical time floors. The value is substantively well supported but cannot advance while the row has no canonical source IDs.</x:v>
      </x:c>
      <x:c r="J38" s="3" t="str"/>
      <x:c r="K38" s="3" t="str">
        <x:v>unresolved</x:v>
      </x:c>
      <x:c r="L38" s="3" t="str">
        <x:v>S1: intermediate judgment - test design, data analysis and surrogate modelling carry real and growing weight, which keeps this above the fully physical anchor, but qualification progress is established by physically exposing specimens to representative loads and environments and cannot be produced by analysis alone; S2: the ordinary loop is years to decades - irradiation campaigns accumulate damage over years, post-irradiation examination follows, and no fusion-spectrum neutron source operates at qualification scale, so the loop that would settle fusion-relevant material behaviour does not yet close at all; S3 cost: cost and throughput diverge - inside a campaign the marginal cost of an additional small specimen is modest and many specimens are irradiated together, which is why small-specimen test technology exists; S3 throughput: campaign opportunities themselves are scarce, expensive and years long in a handful of facilities, so realised decision-relevant throughput is very low and this is what holds the coding at the low end despite per-specimen parallelism; S4: clock time is dominated by physical floors - displacement damage accumulates at a fixed rate that no amount of information can compress, and post-irradiation examination additionally requires cooling and hot-cell access; S5: intermediate judgment - an individual failed test is informative rather than harmful, but an error that spoils a specimen matrix forfeits years of irradiation time that cannot be recovered, and an unsound qualification conclusion propagates into build and licensing commitments; scope caveat: frozen V1 scope is qualification against pilot-relevant loads and environments and excludes discovery, fabrication and commercial-fleet qualification; the absence of a fusion-spectrum irradiation facility is a stated structural condition of this coding and would change materially if such a facility entered service, which is an explicit revisit trigger for later review; this row is routed to fusion domain review; critical_path_role remains not_assessed.</x:v>
      </x:c>
      <x:c r="M38" s="3" t="str">
        <x:v>S1: 0 — progress is established primarily through physical exposure, testing, and accumulated operating evidence; S2: 0 — pilot-relevant qualification cycles can extend from years toward decades; S3 cost: 0 — representative material tests require scarce, expensive facilities and specimens; S3 throughput: attainable attempts are limited and often serial because relevant environments and long exposures cannot be freely replicated; S4: 0 — qualification and accumulated exposure floors dominate elapsed time; S5: 0 — qualification errors can admit unsafe or unreliable materials with severe and potentially irreversible downstream consequences; scope caveat: pilot-relevant qualification only, not initial screening or commercial-fleet qualification.</x:v>
      </x:c>
      <x:c r="N38" s="3" t="str">
        <x:v>exact_agreement</x:v>
      </x:c>
      <x:c r="O38" s="3" t="str">
        <x:v>not_in_existing_backlog</x:v>
      </x:c>
    </x:row>
    <x:row r="39" ht="252" customHeight="1">
      <x:c r="A39" s="9" t="str">
        <x:v>sp-0020</x:v>
      </x:c>
      <x:c r="B39" s="9" t="str">
        <x:v>S5</x:v>
      </x:c>
      <x:c r="C39" s="9" t="str">
        <x:v>seed-sp-0020-v1</x:v>
      </x:c>
      <x:c r="D39" s="9" t="str">
        <x:v>independent-sp-0020-v1</x:v>
      </x:c>
      <x:c r="E39" s="9" t="str"/>
      <x:c r="F39" s="9" t="str"/>
      <x:c r="G39" s="9" t="str"/>
      <x:c r="H39" s="9" t="str"/>
      <x:c r="I39" s="9" t="str"/>
      <x:c r="J39" s="9" t="str"/>
      <x:c r="K39" s="9" t="str"/>
      <x:c r="L39" s="9" t="str">
        <x:v>S1: intermediate judgment - test design, data analysis and surrogate modelling carry real and growing weight, which keeps this above the fully physical anchor, but qualification progress is established by physically exposing specimens to representative loads and environments and cannot be produced by analysis alone; S2: the ordinary loop is years to decades - irradiation campaigns accumulate damage over years, post-irradiation examination follows, and no fusion-spectrum neutron source operates at qualification scale, so the loop that would settle fusion-relevant material behaviour does not yet close at all; S3 cost: cost and throughput diverge - inside a campaign the marginal cost of an additional small specimen is modest and many specimens are irradiated together, which is why small-specimen test technology exists; S3 throughput: campaign opportunities themselves are scarce, expensive and years long in a handful of facilities, so realised decision-relevant throughput is very low and this is what holds the coding at the low end despite per-specimen parallelism; S4: clock time is dominated by physical floors - displacement damage accumulates at a fixed rate that no amount of information can compress, and post-irradiation examination additionally requires cooling and hot-cell access; S5: intermediate judgment - an individual failed test is informative rather than harmful, but an error that spoils a specimen matrix forfeits years of irradiation time that cannot be recovered, and an unsound qualification conclusion propagates into build and licensing commitments; scope caveat: frozen V1 scope is qualification against pilot-relevant loads and environments and excludes discovery, fabrication and commercial-fleet qualification; the absence of a fusion-spectrum irradiation facility is a stated structural condition of this coding and would change materially if such a facility entered service, which is an explicit revisit trigger for later review; this row is routed to fusion domain review; critical_path_role remains not_assessed.</x:v>
      </x:c>
      <x:c r="M39" s="9" t="str">
        <x:v>S1: 0 — progress is established primarily through physical exposure, testing, and accumulated operating evidence; S2: 0 — pilot-relevant qualification cycles can extend from years toward decades; S3 cost: 0 — representative material tests require scarce, expensive facilities and specimens; S3 throughput: attainable attempts are limited and often serial because relevant environments and long exposures cannot be freely replicated; S4: 0 — qualification and accumulated exposure floors dominate elapsed time; S5: 0 — qualification errors can admit unsafe or unreliable materials with severe and potentially irreversible downstream consequences; scope caveat: pilot-relevant qualification only, not initial screening or commercial-fleet qualification.</x:v>
      </x:c>
      <x:c r="N39" s="9" t="str">
        <x:v>one_point_difference</x:v>
      </x:c>
      <x:c r="O39" s="9" t="str">
        <x:v>audit_trail_retained_pending_targeted_s5_adjudication</x:v>
      </x:c>
    </x:row>
    <x:row r="40" ht="252" customHeight="1">
      <x:c r="A40" s="3" t="str">
        <x:v>sp-0021</x:v>
      </x:c>
      <x:c r="B40" s="3" t="str">
        <x:v>S1</x:v>
      </x:c>
      <x:c r="C40" s="3" t="str">
        <x:v>seed-sp-0021-v1</x:v>
      </x:c>
      <x:c r="D40" s="3" t="str">
        <x:v>independent-sp-0021-v1</x:v>
      </x:c>
      <x:c r="E40" s="3" t="str"/>
      <x:c r="F40" s="3" t="str"/>
      <x:c r="G40" s="3" t="str"/>
      <x:c r="H40" s="3" t="str"/>
      <x:c r="I40" s="3" t="str"/>
      <x:c r="J40" s="3" t="str"/>
      <x:c r="K40" s="3" t="str"/>
      <x:c r="L40" s="3" t="str">
        <x:v>S1: magnet design and analysis are computationally intensive across electromagnetics, structural mechanics and quench behaviour, but conductor performance, joints, insulation and quench response are established by physical test articles; informational and physical work are both material and neither dominates; S2: intermediate judgment - analysis iteration runs in weeks, but the loop that actually settles a magnet design is build a conductor sample or sub-scale coil, cool it down, test it and warm it up, which takes many months per iteration; that is slower than the weeks-to-months anchor without being decade-scale; S3 cost: cost and throughput diverge - conductor-sample tests are moderately priced and repeatable, while representative sub-scale and full-scale coil tests each cost millions of currency units in materials and facility time; S3 throughput: sample-level attempts run in parallel batches, but the decision-relevant coil tests queue on a handful of cryogenic test facilities and each occupies one for weeks, so realised throughput is a few campaigns per year; S4: intermediate judgment - no single curing or construction floor governs the whole stage, but winding, impregnation and cure, and multi-week cooldown and warmup cycles, impose an unavoidable physical minimum on every test iteration, so the stage sits well below flexible; S5: intermediate judgment - design and analysis errors are cheap while on paper, but the characteristic hardware failure, an inadequately protected quench or an insulation breakdown, destroys an expensive test article that cannot be repaired, so errors are materially worse than containable without being catastrophic in the external-safety sense; scope caveat: frozen V1 scope is pilot-relevant magnet design, engineering, testing and pre-integration and excludes fabrication after design maturity, site construction and integrated commissioning; high-temperature and low-temperature superconductor routes may warrant distinct profiles; this row is routed to fusion domain review; critical_path_role remains not_assessed.</x:v>
      </x:c>
      <x:c r="M40" s="3" t="str">
        <x:v>S1: 2 — magnet progress combines electromagnetic and systems engineering with prototype hardware testing and pre-integration; S2: 1 — Intermediate judgment: significant magnet iterations often take months to years, slower than the weeks-to-months anchor but not inherently decade-scale; S3 cost: 1 — Intermediate judgment: analyses are cheap relative to large prototype and cryogenic tests, which are costly; S3 throughput: subcomponents can proceed in parallel, while full-scale test capacity is scarce; S4: 1 — Intermediate judgment: fabrication, cooldown, energization, and test floors dominate much of elapsed time but not all design work; S5: 1 — Intermediate judgment: failures can damage high-value equipment and create stored-energy hazards, though pre-integration safeguards limit exposure; scope caveat: design, engineering, testing, and pre-integration only, excluding mature fabrication and site construction.</x:v>
      </x:c>
      <x:c r="N40" s="3" t="str">
        <x:v>exact_agreement</x:v>
      </x:c>
      <x:c r="O40" s="3" t="str">
        <x:v>not_in_existing_backlog</x:v>
      </x:c>
    </x:row>
    <x:row r="41" ht="252" customHeight="1">
      <x:c r="A41" s="9" t="str">
        <x:v>sp-0021</x:v>
      </x:c>
      <x:c r="B41" s="9" t="str">
        <x:v>S2</x:v>
      </x:c>
      <x:c r="C41" s="9" t="str">
        <x:v>seed-sp-0021-v1</x:v>
      </x:c>
      <x:c r="D41" s="9" t="str">
        <x:v>independent-sp-0021-v1</x:v>
      </x:c>
      <x:c r="E41" s="9" t="str"/>
      <x:c r="F41" s="9" t="str"/>
      <x:c r="G41" s="9" t="str"/>
      <x:c r="H41" s="9" t="str"/>
      <x:c r="I41" s="9" t="str"/>
      <x:c r="J41" s="9" t="str"/>
      <x:c r="K41" s="9" t="str"/>
      <x:c r="L41" s="9" t="str">
        <x:v>S1: magnet design and analysis are computationally intensive across electromagnetics, structural mechanics and quench behaviour, but conductor performance, joints, insulation and quench response are established by physical test articles; informational and physical work are both material and neither dominates; S2: intermediate judgment - analysis iteration runs in weeks, but the loop that actually settles a magnet design is build a conductor sample or sub-scale coil, cool it down, test it and warm it up, which takes many months per iteration; that is slower than the weeks-to-months anchor without being decade-scale; S3 cost: cost and throughput diverge - conductor-sample tests are moderately priced and repeatable, while representative sub-scale and full-scale coil tests each cost millions of currency units in materials and facility time; S3 throughput: sample-level attempts run in parallel batches, but the decision-relevant coil tests queue on a handful of cryogenic test facilities and each occupies one for weeks, so realised throughput is a few campaigns per year; S4: intermediate judgment - no single curing or construction floor governs the whole stage, but winding, impregnation and cure, and multi-week cooldown and warmup cycles, impose an unavoidable physical minimum on every test iteration, so the stage sits well below flexible; S5: intermediate judgment - design and analysis errors are cheap while on paper, but the characteristic hardware failure, an inadequately protected quench or an insulation breakdown, destroys an expensive test article that cannot be repaired, so errors are materially worse than containable without being catastrophic in the external-safety sense; scope caveat: frozen V1 scope is pilot-relevant magnet design, engineering, testing and pre-integration and excludes fabrication after design maturity, site construction and integrated commissioning; high-temperature and low-temperature superconductor routes may warrant distinct profiles; this row is routed to fusion domain review; critical_path_role remains not_assessed.</x:v>
      </x:c>
      <x:c r="M41" s="9" t="str">
        <x:v>S1: 2 — magnet progress combines electromagnetic and systems engineering with prototype hardware testing and pre-integration; S2: 1 — Intermediate judgment: significant magnet iterations often take months to years, slower than the weeks-to-months anchor but not inherently decade-scale; S3 cost: 1 — Intermediate judgment: analyses are cheap relative to large prototype and cryogenic tests, which are costly; S3 throughput: subcomponents can proceed in parallel, while full-scale test capacity is scarce; S4: 1 — Intermediate judgment: fabrication, cooldown, energization, and test floors dominate much of elapsed time but not all design work; S5: 1 — Intermediate judgment: failures can damage high-value equipment and create stored-energy hazards, though pre-integration safeguards limit exposure; scope caveat: design, engineering, testing, and pre-integration only, excluding mature fabrication and site construction.</x:v>
      </x:c>
      <x:c r="N41" s="9" t="str">
        <x:v>exact_agreement</x:v>
      </x:c>
      <x:c r="O41" s="9" t="str">
        <x:v>not_in_existing_backlog</x:v>
      </x:c>
    </x:row>
    <x:row r="42" ht="252" customHeight="1">
      <x:c r="A42" s="3" t="str">
        <x:v>sp-0021</x:v>
      </x:c>
      <x:c r="B42" s="3" t="str">
        <x:v>S3</x:v>
      </x:c>
      <x:c r="C42" s="3" t="str">
        <x:v>seed-sp-0021-v1</x:v>
      </x:c>
      <x:c r="D42" s="3" t="str">
        <x:v>independent-sp-0021-v1</x:v>
      </x:c>
      <x:c r="E42" s="3" t="str"/>
      <x:c r="F42" s="3" t="str"/>
      <x:c r="G42" s="3" t="str"/>
      <x:c r="H42" s="3" t="str"/>
      <x:c r="I42" s="3" t="str"/>
      <x:c r="J42" s="3" t="str"/>
      <x:c r="K42" s="3" t="str"/>
      <x:c r="L42" s="3" t="str">
        <x:v>S1: magnet design and analysis are computationally intensive across electromagnetics, structural mechanics and quench behaviour, but conductor performance, joints, insulation and quench response are established by physical test articles; informational and physical work are both material and neither dominates; S2: intermediate judgment - analysis iteration runs in weeks, but the loop that actually settles a magnet design is build a conductor sample or sub-scale coil, cool it down, test it and warm it up, which takes many months per iteration; that is slower than the weeks-to-months anchor without being decade-scale; S3 cost: cost and throughput diverge - conductor-sample tests are moderately priced and repeatable, while representative sub-scale and full-scale coil tests each cost millions of currency units in materials and facility time; S3 throughput: sample-level attempts run in parallel batches, but the decision-relevant coil tests queue on a handful of cryogenic test facilities and each occupies one for weeks, so realised throughput is a few campaigns per year; S4: intermediate judgment - no single curing or construction floor governs the whole stage, but winding, impregnation and cure, and multi-week cooldown and warmup cycles, impose an unavoidable physical minimum on every test iteration, so the stage sits well below flexible; S5: intermediate judgment - design and analysis errors are cheap while on paper, but the characteristic hardware failure, an inadequately protected quench or an insulation breakdown, destroys an expensive test article that cannot be repaired, so errors are materially worse than containable without being catastrophic in the external-safety sense; scope caveat: frozen V1 scope is pilot-relevant magnet design, engineering, testing and pre-integration and excludes fabrication after design maturity, site construction and integrated commissioning; high-temperature and low-temperature superconductor routes may warrant distinct profiles; this row is routed to fusion domain review; critical_path_role remains not_assessed.</x:v>
      </x:c>
      <x:c r="M42" s="3" t="str">
        <x:v>S1: 2 — magnet progress combines electromagnetic and systems engineering with prototype hardware testing and pre-integration; S2: 1 — Intermediate judgment: significant magnet iterations often take months to years, slower than the weeks-to-months anchor but not inherently decade-scale; S3 cost: 1 — Intermediate judgment: analyses are cheap relative to large prototype and cryogenic tests, which are costly; S3 throughput: subcomponents can proceed in parallel, while full-scale test capacity is scarce; S4: 1 — Intermediate judgment: fabrication, cooldown, energization, and test floors dominate much of elapsed time but not all design work; S5: 1 — Intermediate judgment: failures can damage high-value equipment and create stored-energy hazards, though pre-integration safeguards limit exposure; scope caveat: design, engineering, testing, and pre-integration only, excluding mature fabrication and site construction.</x:v>
      </x:c>
      <x:c r="N42" s="3" t="str">
        <x:v>exact_agreement</x:v>
      </x:c>
      <x:c r="O42" s="3" t="str">
        <x:v>not_in_existing_backlog</x:v>
      </x:c>
    </x:row>
    <x:row r="43" ht="252" customHeight="1">
      <x:c r="A43" s="9" t="str">
        <x:v>sp-0021</x:v>
      </x:c>
      <x:c r="B43" s="9" t="str">
        <x:v>S4</x:v>
      </x:c>
      <x:c r="C43" s="9" t="str">
        <x:v>seed-sp-0021-v1</x:v>
      </x:c>
      <x:c r="D43" s="9" t="str">
        <x:v>independent-sp-0021-v1</x:v>
      </x:c>
      <x:c r="E43" s="9" t="str"/>
      <x:c r="F43" s="9" t="str"/>
      <x:c r="G43" s="9" t="str"/>
      <x:c r="H43" s="9" t="str"/>
      <x:c r="I43" s="9" t="str"/>
      <x:c r="J43" s="9" t="str"/>
      <x:c r="K43" s="9" t="str"/>
      <x:c r="L43" s="9" t="str">
        <x:v>S1: magnet design and analysis are computationally intensive across electromagnetics, structural mechanics and quench behaviour, but conductor performance, joints, insulation and quench response are established by physical test articles; informational and physical work are both material and neither dominates; S2: intermediate judgment - analysis iteration runs in weeks, but the loop that actually settles a magnet design is build a conductor sample or sub-scale coil, cool it down, test it and warm it up, which takes many months per iteration; that is slower than the weeks-to-months anchor without being decade-scale; S3 cost: cost and throughput diverge - conductor-sample tests are moderately priced and repeatable, while representative sub-scale and full-scale coil tests each cost millions of currency units in materials and facility time; S3 throughput: sample-level attempts run in parallel batches, but the decision-relevant coil tests queue on a handful of cryogenic test facilities and each occupies one for weeks, so realised throughput is a few campaigns per year; S4: intermediate judgment - no single curing or construction floor governs the whole stage, but winding, impregnation and cure, and multi-week cooldown and warmup cycles, impose an unavoidable physical minimum on every test iteration, so the stage sits well below flexible; S5: intermediate judgment - design and analysis errors are cheap while on paper, but the characteristic hardware failure, an inadequately protected quench or an insulation breakdown, destroys an expensive test article that cannot be repaired, so errors are materially worse than containable without being catastrophic in the external-safety sense; scope caveat: frozen V1 scope is pilot-relevant magnet design, engineering, testing and pre-integration and excludes fabrication after design maturity, site construction and integrated commissioning; high-temperature and low-temperature superconductor routes may warrant distinct profiles; this row is routed to fusion domain review; critical_path_role remains not_assessed.</x:v>
      </x:c>
      <x:c r="M43" s="9" t="str">
        <x:v>S1: 2 — magnet progress combines electromagnetic and systems engineering with prototype hardware testing and pre-integration; S2: 1 — Intermediate judgment: significant magnet iterations often take months to years, slower than the weeks-to-months anchor but not inherently decade-scale; S3 cost: 1 — Intermediate judgment: analyses are cheap relative to large prototype and cryogenic tests, which are costly; S3 throughput: subcomponents can proceed in parallel, while full-scale test capacity is scarce; S4: 1 — Intermediate judgment: fabrication, cooldown, energization, and test floors dominate much of elapsed time but not all design work; S5: 1 — Intermediate judgment: failures can damage high-value equipment and create stored-energy hazards, though pre-integration safeguards limit exposure; scope caveat: design, engineering, testing, and pre-integration only, excluding mature fabrication and site construction.</x:v>
      </x:c>
      <x:c r="N43" s="9" t="str">
        <x:v>exact_agreement</x:v>
      </x:c>
      <x:c r="O43" s="9" t="str">
        <x:v>not_in_existing_backlog</x:v>
      </x:c>
    </x:row>
    <x:row r="44" ht="252" customHeight="1">
      <x:c r="A44" s="3" t="str">
        <x:v>sp-0021</x:v>
      </x:c>
      <x:c r="B44" s="3" t="str">
        <x:v>S5</x:v>
      </x:c>
      <x:c r="C44" s="3" t="str">
        <x:v>seed-sp-0021-v1</x:v>
      </x:c>
      <x:c r="D44" s="3" t="str">
        <x:v>independent-sp-0021-v1</x:v>
      </x:c>
      <x:c r="E44" s="3" t="str"/>
      <x:c r="F44" s="3" t="str"/>
      <x:c r="G44" s="3" t="str"/>
      <x:c r="H44" s="3" t="str"/>
      <x:c r="I44" s="3" t="str"/>
      <x:c r="J44" s="3" t="str"/>
      <x:c r="K44" s="3" t="str"/>
      <x:c r="L44" s="3" t="str">
        <x:v>S1: magnet design and analysis are computationally intensive across electromagnetics, structural mechanics and quench behaviour, but conductor performance, joints, insulation and quench response are established by physical test articles; informational and physical work are both material and neither dominates; S2: intermediate judgment - analysis iteration runs in weeks, but the loop that actually settles a magnet design is build a conductor sample or sub-scale coil, cool it down, test it and warm it up, which takes many months per iteration; that is slower than the weeks-to-months anchor without being decade-scale; S3 cost: cost and throughput diverge - conductor-sample tests are moderately priced and repeatable, while representative sub-scale and full-scale coil tests each cost millions of currency units in materials and facility time; S3 throughput: sample-level attempts run in parallel batches, but the decision-relevant coil tests queue on a handful of cryogenic test facilities and each occupies one for weeks, so realised throughput is a few campaigns per year; S4: intermediate judgment - no single curing or construction floor governs the whole stage, but winding, impregnation and cure, and multi-week cooldown and warmup cycles, impose an unavoidable physical minimum on every test iteration, so the stage sits well below flexible; S5: intermediate judgment - design and analysis errors are cheap while on paper, but the characteristic hardware failure, an inadequately protected quench or an insulation breakdown, destroys an expensive test article that cannot be repaired, so errors are materially worse than containable without being catastrophic in the external-safety sense; scope caveat: frozen V1 scope is pilot-relevant magnet design, engineering, testing and pre-integration and excludes fabrication after design maturity, site construction and integrated commissioning; high-temperature and low-temperature superconductor routes may warrant distinct profiles; this row is routed to fusion domain review; critical_path_role remains not_assessed.</x:v>
      </x:c>
      <x:c r="M44" s="3" t="str">
        <x:v>S1: 2 — magnet progress combines electromagnetic and systems engineering with prototype hardware testing and pre-integration; S2: 1 — Intermediate judgment: significant magnet iterations often take months to years, slower than the weeks-to-months anchor but not inherently decade-scale; S3 cost: 1 — Intermediate judgment: analyses are cheap relative to large prototype and cryogenic tests, which are costly; S3 throughput: subcomponents can proceed in parallel, while full-scale test capacity is scarce; S4: 1 — Intermediate judgment: fabrication, cooldown, energization, and test floors dominate much of elapsed time but not all design work; S5: 1 — Intermediate judgment: failures can damage high-value equipment and create stored-energy hazards, though pre-integration safeguards limit exposure; scope caveat: design, engineering, testing, and pre-integration only, excluding mature fabrication and site construction.</x:v>
      </x:c>
      <x:c r="N44" s="3" t="str">
        <x:v>exact_agreement</x:v>
      </x:c>
      <x:c r="O44" s="3" t="str">
        <x:v>not_in_existing_backlog</x:v>
      </x:c>
    </x:row>
    <x:row r="45" ht="236" customHeight="1">
      <x:c r="A45" s="9" t="str">
        <x:v>sp-0022</x:v>
      </x:c>
      <x:c r="B45" s="9" t="str">
        <x:v>S1</x:v>
      </x:c>
      <x:c r="C45" s="9" t="str">
        <x:v>seed-sp-0022-v1</x:v>
      </x:c>
      <x:c r="D45" s="9" t="str">
        <x:v>independent-sp-0022-v1</x:v>
      </x:c>
      <x:c r="E45" s="9" t="str"/>
      <x:c r="F45" s="9" t="str"/>
      <x:c r="G45" s="9" t="str"/>
      <x:c r="H45" s="9" t="str"/>
      <x:c r="I45" s="9" t="str"/>
      <x:c r="J45" s="9" t="str"/>
      <x:c r="K45" s="9" t="str"/>
      <x:c r="L45" s="9" t="str">
        <x:v>S1: heating and current-drive development combines physics analysis, coupling calculations and control design with high-power source, transmission and launcher hardware development; both are material and neither dominates; S2: the ordinary loop is build or modify a source or launcher, condition it, and run it at power on a test stand, which runs on a weeks-to-months cadence; S3 cost: cost and throughput diverge - component-level and low-power tests are affordable and repeatable, while each full-power source such as a gyrotron or a neutral-beam injector is individually expensive and its test campaign consumes substantial power and staff; S3 throughput: low-power attempts are modestly parallel, but full-power testing depends on a small number of test stands worldwide, each occupied serially for a campaign, so decision-relevant throughput is a few campaigns per year and this holds the coding at the low end; S4: fabrication lead times, vacuum bakeout and the accumulated conditioning hours required before a source reaches rated performance create meaningful and unavoidable delay, but no single curing, construction or qualification floor dominates the scoped stage; S5: intermediate judgment - low-power errors are cheap and reversible, but characteristic high-power failures such as window rupture, arcing damage or cathode loss destroy costly components and remove a scarce test stand from service for months, which places the stage below containable; scope caveat: frozen V1 scope is pilot-relevant heating and current-drive design, engineering, testing and pre-integration and excludes fabrication after design maturity, construction, commissioning and fleet rollout; electron-cyclotron, ion-cyclotron and neutral-beam routes may warrant distinct profiles; this row is routed to fusion domain review; critical_path_role remains not_assessed.</x:v>
      </x:c>
      <x:c r="M45" s="9" t="str">
        <x:v>S1: 2 — heating and current-drive work combines modelling and control engineering with high-power physical hardware tests; S2: 1 — Intermediate judgment: subsystem revisions commonly take months to years; S3 cost: 1 — Intermediate judgment: component analyses are affordable, but integrated high-power tests require costly equipment and facilities; S3 throughput: some module work is parallel, while specialized test stands and integration slots constrain throughput; S4: 1 — Intermediate judgment: fabrication, conditioning, and high-power test sequences dominate much of elapsed time; S5: 1 — Intermediate judgment: errors can damage equipment or create electrical and operational hazards, while staged testing often contains them; scope caveat: pre-integration development only, not mature fabrication or integrated commissioning.</x:v>
      </x:c>
      <x:c r="N45" s="9" t="str">
        <x:v>exact_agreement</x:v>
      </x:c>
      <x:c r="O45" s="9" t="str">
        <x:v>not_in_existing_backlog</x:v>
      </x:c>
    </x:row>
    <x:row r="46" ht="236" customHeight="1">
      <x:c r="A46" s="3" t="str">
        <x:v>sp-0022</x:v>
      </x:c>
      <x:c r="B46" s="3" t="str">
        <x:v>S2</x:v>
      </x:c>
      <x:c r="C46" s="3" t="str">
        <x:v>seed-sp-0022-v1</x:v>
      </x:c>
      <x:c r="D46" s="3" t="str">
        <x:v>independent-sp-0022-v1</x:v>
      </x:c>
      <x:c r="E46" s="3" t="str"/>
      <x:c r="F46" s="3" t="str"/>
      <x:c r="G46" s="3" t="str"/>
      <x:c r="H46" s="3" t="str"/>
      <x:c r="I46" s="3" t="str"/>
      <x:c r="J46" s="3" t="str"/>
      <x:c r="K46" s="3" t="str"/>
      <x:c r="L46" s="3" t="str">
        <x:v>S1: heating and current-drive development combines physics analysis, coupling calculations and control design with high-power source, transmission and launcher hardware development; both are material and neither dominates; S2: the ordinary loop is build or modify a source or launcher, condition it, and run it at power on a test stand, which runs on a weeks-to-months cadence; S3 cost: cost and throughput diverge - component-level and low-power tests are affordable and repeatable, while each full-power source such as a gyrotron or a neutral-beam injector is individually expensive and its test campaign consumes substantial power and staff; S3 throughput: low-power attempts are modestly parallel, but full-power testing depends on a small number of test stands worldwide, each occupied serially for a campaign, so decision-relevant throughput is a few campaigns per year and this holds the coding at the low end; S4: fabrication lead times, vacuum bakeout and the accumulated conditioning hours required before a source reaches rated performance create meaningful and unavoidable delay, but no single curing, construction or qualification floor dominates the scoped stage; S5: intermediate judgment - low-power errors are cheap and reversible, but characteristic high-power failures such as window rupture, arcing damage or cathode loss destroy costly components and remove a scarce test stand from service for months, which places the stage below containable; scope caveat: frozen V1 scope is pilot-relevant heating and current-drive design, engineering, testing and pre-integration and excludes fabrication after design maturity, construction, commissioning and fleet rollout; electron-cyclotron, ion-cyclotron and neutral-beam routes may warrant distinct profiles; this row is routed to fusion domain review; critical_path_role remains not_assessed.</x:v>
      </x:c>
      <x:c r="M46" s="3" t="str">
        <x:v>S1: 2 — heating and current-drive work combines modelling and control engineering with high-power physical hardware tests; S2: 1 — Intermediate judgment: subsystem revisions commonly take months to years; S3 cost: 1 — Intermediate judgment: component analyses are affordable, but integrated high-power tests require costly equipment and facilities; S3 throughput: some module work is parallel, while specialized test stands and integration slots constrain throughput; S4: 1 — Intermediate judgment: fabrication, conditioning, and high-power test sequences dominate much of elapsed time; S5: 1 — Intermediate judgment: errors can damage equipment or create electrical and operational hazards, while staged testing often contains them; scope caveat: pre-integration development only, not mature fabrication or integrated commissioning.</x:v>
      </x:c>
      <x:c r="N46" s="3" t="str">
        <x:v>one_point_difference</x:v>
      </x:c>
      <x:c r="O46" s="3" t="str">
        <x:v>not_in_existing_backlog</x:v>
      </x:c>
    </x:row>
    <x:row r="47" ht="236" customHeight="1">
      <x:c r="A47" s="9" t="str">
        <x:v>sp-0022</x:v>
      </x:c>
      <x:c r="B47" s="9" t="str">
        <x:v>S3</x:v>
      </x:c>
      <x:c r="C47" s="9" t="str">
        <x:v>seed-sp-0022-v1</x:v>
      </x:c>
      <x:c r="D47" s="9" t="str">
        <x:v>independent-sp-0022-v1</x:v>
      </x:c>
      <x:c r="E47" s="9" t="str"/>
      <x:c r="F47" s="9" t="str"/>
      <x:c r="G47" s="9" t="str"/>
      <x:c r="H47" s="9" t="str"/>
      <x:c r="I47" s="9" t="str"/>
      <x:c r="J47" s="9" t="str"/>
      <x:c r="K47" s="9" t="str"/>
      <x:c r="L47" s="9" t="str">
        <x:v>S1: heating and current-drive development combines physics analysis, coupling calculations and control design with high-power source, transmission and launcher hardware development; both are material and neither dominates; S2: the ordinary loop is build or modify a source or launcher, condition it, and run it at power on a test stand, which runs on a weeks-to-months cadence; S3 cost: cost and throughput diverge - component-level and low-power tests are affordable and repeatable, while each full-power source such as a gyrotron or a neutral-beam injector is individually expensive and its test campaign consumes substantial power and staff; S3 throughput: low-power attempts are modestly parallel, but full-power testing depends on a small number of test stands worldwide, each occupied serially for a campaign, so decision-relevant throughput is a few campaigns per year and this holds the coding at the low end; S4: fabrication lead times, vacuum bakeout and the accumulated conditioning hours required before a source reaches rated performance create meaningful and unavoidable delay, but no single curing, construction or qualification floor dominates the scoped stage; S5: intermediate judgment - low-power errors are cheap and reversible, but characteristic high-power failures such as window rupture, arcing damage or cathode loss destroy costly components and remove a scarce test stand from service for months, which places the stage below containable; scope caveat: frozen V1 scope is pilot-relevant heating and current-drive design, engineering, testing and pre-integration and excludes fabrication after design maturity, construction, commissioning and fleet rollout; electron-cyclotron, ion-cyclotron and neutral-beam routes may warrant distinct profiles; this row is routed to fusion domain review; critical_path_role remains not_assessed.</x:v>
      </x:c>
      <x:c r="M47" s="9" t="str">
        <x:v>S1: 2 — heating and current-drive work combines modelling and control engineering with high-power physical hardware tests; S2: 1 — Intermediate judgment: subsystem revisions commonly take months to years; S3 cost: 1 — Intermediate judgment: component analyses are affordable, but integrated high-power tests require costly equipment and facilities; S3 throughput: some module work is parallel, while specialized test stands and integration slots constrain throughput; S4: 1 — Intermediate judgment: fabrication, conditioning, and high-power test sequences dominate much of elapsed time; S5: 1 — Intermediate judgment: errors can damage equipment or create electrical and operational hazards, while staged testing often contains them; scope caveat: pre-integration development only, not mature fabrication or integrated commissioning.</x:v>
      </x:c>
      <x:c r="N47" s="9" t="str">
        <x:v>exact_agreement</x:v>
      </x:c>
      <x:c r="O47" s="9" t="str">
        <x:v>not_in_existing_backlog</x:v>
      </x:c>
    </x:row>
    <x:row r="48" ht="236" customHeight="1">
      <x:c r="A48" s="3" t="str">
        <x:v>sp-0022</x:v>
      </x:c>
      <x:c r="B48" s="3" t="str">
        <x:v>S4</x:v>
      </x:c>
      <x:c r="C48" s="3" t="str">
        <x:v>seed-sp-0022-v1</x:v>
      </x:c>
      <x:c r="D48" s="3" t="str">
        <x:v>independent-sp-0022-v1</x:v>
      </x:c>
      <x:c r="E48" s="3" t="str"/>
      <x:c r="F48" s="3" t="str"/>
      <x:c r="G48" s="3" t="str"/>
      <x:c r="H48" s="3" t="str"/>
      <x:c r="I48" s="3" t="str"/>
      <x:c r="J48" s="3" t="str"/>
      <x:c r="K48" s="3" t="str"/>
      <x:c r="L48" s="3" t="str">
        <x:v>S1: heating and current-drive development combines physics analysis, coupling calculations and control design with high-power source, transmission and launcher hardware development; both are material and neither dominates; S2: the ordinary loop is build or modify a source or launcher, condition it, and run it at power on a test stand, which runs on a weeks-to-months cadence; S3 cost: cost and throughput diverge - component-level and low-power tests are affordable and repeatable, while each full-power source such as a gyrotron or a neutral-beam injector is individually expensive and its test campaign consumes substantial power and staff; S3 throughput: low-power attempts are modestly parallel, but full-power testing depends on a small number of test stands worldwide, each occupied serially for a campaign, so decision-relevant throughput is a few campaigns per year and this holds the coding at the low end; S4: fabrication lead times, vacuum bakeout and the accumulated conditioning hours required before a source reaches rated performance create meaningful and unavoidable delay, but no single curing, construction or qualification floor dominates the scoped stage; S5: intermediate judgment - low-power errors are cheap and reversible, but characteristic high-power failures such as window rupture, arcing damage or cathode loss destroy costly components and remove a scarce test stand from service for months, which places the stage below containable; scope caveat: frozen V1 scope is pilot-relevant heating and current-drive design, engineering, testing and pre-integration and excludes fabrication after design maturity, construction, commissioning and fleet rollout; electron-cyclotron, ion-cyclotron and neutral-beam routes may warrant distinct profiles; this row is routed to fusion domain review; critical_path_role remains not_assessed.</x:v>
      </x:c>
      <x:c r="M48" s="3" t="str">
        <x:v>S1: 2 — heating and current-drive work combines modelling and control engineering with high-power physical hardware tests; S2: 1 — Intermediate judgment: subsystem revisions commonly take months to years; S3 cost: 1 — Intermediate judgment: component analyses are affordable, but integrated high-power tests require costly equipment and facilities; S3 throughput: some module work is parallel, while specialized test stands and integration slots constrain throughput; S4: 1 — Intermediate judgment: fabrication, conditioning, and high-power test sequences dominate much of elapsed time; S5: 1 — Intermediate judgment: errors can damage equipment or create electrical and operational hazards, while staged testing often contains them; scope caveat: pre-integration development only, not mature fabrication or integrated commissioning.</x:v>
      </x:c>
      <x:c r="N48" s="3" t="str">
        <x:v>one_point_difference</x:v>
      </x:c>
      <x:c r="O48" s="3" t="str">
        <x:v>not_in_existing_backlog</x:v>
      </x:c>
    </x:row>
    <x:row r="49" ht="236" customHeight="1">
      <x:c r="A49" s="9" t="str">
        <x:v>sp-0022</x:v>
      </x:c>
      <x:c r="B49" s="9" t="str">
        <x:v>S5</x:v>
      </x:c>
      <x:c r="C49" s="9" t="str">
        <x:v>seed-sp-0022-v1</x:v>
      </x:c>
      <x:c r="D49" s="9" t="str">
        <x:v>independent-sp-0022-v1</x:v>
      </x:c>
      <x:c r="E49" s="9" t="str"/>
      <x:c r="F49" s="9" t="str"/>
      <x:c r="G49" s="9" t="str"/>
      <x:c r="H49" s="9" t="str"/>
      <x:c r="I49" s="9" t="str"/>
      <x:c r="J49" s="9" t="str"/>
      <x:c r="K49" s="9" t="str"/>
      <x:c r="L49" s="9" t="str">
        <x:v>S1: heating and current-drive development combines physics analysis, coupling calculations and control design with high-power source, transmission and launcher hardware development; both are material and neither dominates; S2: the ordinary loop is build or modify a source or launcher, condition it, and run it at power on a test stand, which runs on a weeks-to-months cadence; S3 cost: cost and throughput diverge - component-level and low-power tests are affordable and repeatable, while each full-power source such as a gyrotron or a neutral-beam injector is individually expensive and its test campaign consumes substantial power and staff; S3 throughput: low-power attempts are modestly parallel, but full-power testing depends on a small number of test stands worldwide, each occupied serially for a campaign, so decision-relevant throughput is a few campaigns per year and this holds the coding at the low end; S4: fabrication lead times, vacuum bakeout and the accumulated conditioning hours required before a source reaches rated performance create meaningful and unavoidable delay, but no single curing, construction or qualification floor dominates the scoped stage; S5: intermediate judgment - low-power errors are cheap and reversible, but characteristic high-power failures such as window rupture, arcing damage or cathode loss destroy costly components and remove a scarce test stand from service for months, which places the stage below containable; scope caveat: frozen V1 scope is pilot-relevant heating and current-drive design, engineering, testing and pre-integration and excludes fabrication after design maturity, construction, commissioning and fleet rollout; electron-cyclotron, ion-cyclotron and neutral-beam routes may warrant distinct profiles; this row is routed to fusion domain review; critical_path_role remains not_assessed.</x:v>
      </x:c>
      <x:c r="M49" s="9" t="str">
        <x:v>S1: 2 — heating and current-drive work combines modelling and control engineering with high-power physical hardware tests; S2: 1 — Intermediate judgment: subsystem revisions commonly take months to years; S3 cost: 1 — Intermediate judgment: component analyses are affordable, but integrated high-power tests require costly equipment and facilities; S3 throughput: some module work is parallel, while specialized test stands and integration slots constrain throughput; S4: 1 — Intermediate judgment: fabrication, conditioning, and high-power test sequences dominate much of elapsed time; S5: 1 — Intermediate judgment: errors can damage equipment or create electrical and operational hazards, while staged testing often contains them; scope caveat: pre-integration development only, not mature fabrication or integrated commissioning.</x:v>
      </x:c>
      <x:c r="N49" s="9" t="str">
        <x:v>exact_agreement</x:v>
      </x:c>
      <x:c r="O49" s="9" t="str">
        <x:v>not_in_existing_backlog</x:v>
      </x:c>
    </x:row>
    <x:row r="50" ht="236" customHeight="1">
      <x:c r="A50" s="3" t="str">
        <x:v>sp-0023</x:v>
      </x:c>
      <x:c r="B50" s="3" t="str">
        <x:v>S1</x:v>
      </x:c>
      <x:c r="C50" s="3" t="str">
        <x:v>seed-sp-0023-v1</x:v>
      </x:c>
      <x:c r="D50" s="3" t="str">
        <x:v>independent-sp-0023-v1</x:v>
      </x:c>
      <x:c r="E50" s="3" t="str"/>
      <x:c r="F50" s="3" t="str"/>
      <x:c r="G50" s="3" t="str"/>
      <x:c r="H50" s="3" t="str"/>
      <x:c r="I50" s="3" t="str"/>
      <x:c r="J50" s="3" t="str"/>
      <x:c r="K50" s="3" t="str"/>
      <x:c r="L50" s="3" t="str">
        <x:v>S1: thermo-mechanical design and analysis of plasma-facing components is substantial and informational, but the determining questions, namely joint integrity under cyclic heat flux, erosion and the behaviour of neutron-damaged material, are settled physically; both are material and neither dominates; S2: intermediate judgment - analysis iterates in weeks, but the loop that decides a design is fabricate a mock-up and cycle it in a high-heat-flux facility, which takes many months per iteration and is slower than the weeks-to-months anchor without being decade-scale; S3 cost: cost and throughput diverge - small mock-ups can be produced in modest batches at moderate cost, but joining refractory metals to heat-sink alloys is difficult and each qualified mock-up is expensive; S3 throughput: batch fabrication gives limited parallelism, but high-heat-flux and neutron-relevant testing depends on a handful of facilities with long queues, so realised throughput is low; S4: intermediate judgment - joining and heat-treatment cycles, and above all thermal-fatigue campaigns that must accumulate large numbers of cycles, set the iteration clock and cannot be compressed by better information, though no single construction or curing floor governs the whole stage; S5: within the scoped design-and-test work, failures occur on mock-ups and are informative and containable, at the material cost of months of fabrication and scarce facility time; the severe consequences of a plasma-facing component failure in an operating machine fall to the commissioning and reliability stages and are coded there; scope caveat: frozen V1 scope is pilot-relevant design, engineering, testing and pre-integration and excludes fabrication after design maturity, construction, integrated commissioning and fleet rollout; this row is routed to fusion domain review; critical_path_role remains not_assessed.</x:v>
      </x:c>
      <x:c r="M50" s="3" t="str">
        <x:v>S1: 2 — plasma-facing component work combines thermal and materials analysis with physical prototype and exposure testing; S2: 1 — Intermediate judgment: representative design-test iterations often take months to years; S3 cost: 1 — Intermediate judgment: coupon studies are repeatable, but high-heat-flux and integrated tests are costly and scarce; S3 throughput: small samples can run in parallel, while representative facilities constrain decisive throughput; S4: 1 — Intermediate judgment: fabrication and exposure-test floors dominate much of the cycle without eliminating design work; S5: 1 — Intermediate judgment: failures can damage components or contaminate plasma, though pre-integration testing contains many errors; scope caveat: pilot-relevant design, testing, and pre-integration only.</x:v>
      </x:c>
      <x:c r="N50" s="3" t="str">
        <x:v>exact_agreement</x:v>
      </x:c>
      <x:c r="O50" s="3" t="str">
        <x:v>not_in_existing_backlog</x:v>
      </x:c>
    </x:row>
    <x:row r="51" ht="236" customHeight="1">
      <x:c r="A51" s="9" t="str">
        <x:v>sp-0023</x:v>
      </x:c>
      <x:c r="B51" s="9" t="str">
        <x:v>S2</x:v>
      </x:c>
      <x:c r="C51" s="9" t="str">
        <x:v>seed-sp-0023-v1</x:v>
      </x:c>
      <x:c r="D51" s="9" t="str">
        <x:v>independent-sp-0023-v1</x:v>
      </x:c>
      <x:c r="E51" s="9" t="str"/>
      <x:c r="F51" s="9" t="str"/>
      <x:c r="G51" s="9" t="str"/>
      <x:c r="H51" s="9" t="str"/>
      <x:c r="I51" s="9" t="str"/>
      <x:c r="J51" s="9" t="str"/>
      <x:c r="K51" s="9" t="str"/>
      <x:c r="L51" s="9" t="str">
        <x:v>S1: thermo-mechanical design and analysis of plasma-facing components is substantial and informational, but the determining questions, namely joint integrity under cyclic heat flux, erosion and the behaviour of neutron-damaged material, are settled physically; both are material and neither dominates; S2: intermediate judgment - analysis iterates in weeks, but the loop that decides a design is fabricate a mock-up and cycle it in a high-heat-flux facility, which takes many months per iteration and is slower than the weeks-to-months anchor without being decade-scale; S3 cost: cost and throughput diverge - small mock-ups can be produced in modest batches at moderate cost, but joining refractory metals to heat-sink alloys is difficult and each qualified mock-up is expensive; S3 throughput: batch fabrication gives limited parallelism, but high-heat-flux and neutron-relevant testing depends on a handful of facilities with long queues, so realised throughput is low; S4: intermediate judgment - joining and heat-treatment cycles, and above all thermal-fatigue campaigns that must accumulate large numbers of cycles, set the iteration clock and cannot be compressed by better information, though no single construction or curing floor governs the whole stage; S5: within the scoped design-and-test work, failures occur on mock-ups and are informative and containable, at the material cost of months of fabrication and scarce facility time; the severe consequences of a plasma-facing component failure in an operating machine fall to the commissioning and reliability stages and are coded there; scope caveat: frozen V1 scope is pilot-relevant design, engineering, testing and pre-integration and excludes fabrication after design maturity, construction, integrated commissioning and fleet rollout; this row is routed to fusion domain review; critical_path_role remains not_assessed.</x:v>
      </x:c>
      <x:c r="M51" s="9" t="str">
        <x:v>S1: 2 — plasma-facing component work combines thermal and materials analysis with physical prototype and exposure testing; S2: 1 — Intermediate judgment: representative design-test iterations often take months to years; S3 cost: 1 — Intermediate judgment: coupon studies are repeatable, but high-heat-flux and integrated tests are costly and scarce; S3 throughput: small samples can run in parallel, while representative facilities constrain decisive throughput; S4: 1 — Intermediate judgment: fabrication and exposure-test floors dominate much of the cycle without eliminating design work; S5: 1 — Intermediate judgment: failures can damage components or contaminate plasma, though pre-integration testing contains many errors; scope caveat: pilot-relevant design, testing, and pre-integration only.</x:v>
      </x:c>
      <x:c r="N51" s="9" t="str">
        <x:v>exact_agreement</x:v>
      </x:c>
      <x:c r="O51" s="9" t="str">
        <x:v>not_in_existing_backlog</x:v>
      </x:c>
    </x:row>
    <x:row r="52" ht="236" customHeight="1">
      <x:c r="A52" s="3" t="str">
        <x:v>sp-0023</x:v>
      </x:c>
      <x:c r="B52" s="3" t="str">
        <x:v>S3</x:v>
      </x:c>
      <x:c r="C52" s="3" t="str">
        <x:v>seed-sp-0023-v1</x:v>
      </x:c>
      <x:c r="D52" s="3" t="str">
        <x:v>independent-sp-0023-v1</x:v>
      </x:c>
      <x:c r="E52" s="3" t="str"/>
      <x:c r="F52" s="3" t="str"/>
      <x:c r="G52" s="3" t="str"/>
      <x:c r="H52" s="3" t="str"/>
      <x:c r="I52" s="3" t="str"/>
      <x:c r="J52" s="3" t="str"/>
      <x:c r="K52" s="3" t="str"/>
      <x:c r="L52" s="3" t="str">
        <x:v>S1: thermo-mechanical design and analysis of plasma-facing components is substantial and informational, but the determining questions, namely joint integrity under cyclic heat flux, erosion and the behaviour of neutron-damaged material, are settled physically; both are material and neither dominates; S2: intermediate judgment - analysis iterates in weeks, but the loop that decides a design is fabricate a mock-up and cycle it in a high-heat-flux facility, which takes many months per iteration and is slower than the weeks-to-months anchor without being decade-scale; S3 cost: cost and throughput diverge - small mock-ups can be produced in modest batches at moderate cost, but joining refractory metals to heat-sink alloys is difficult and each qualified mock-up is expensive; S3 throughput: batch fabrication gives limited parallelism, but high-heat-flux and neutron-relevant testing depends on a handful of facilities with long queues, so realised throughput is low; S4: intermediate judgment - joining and heat-treatment cycles, and above all thermal-fatigue campaigns that must accumulate large numbers of cycles, set the iteration clock and cannot be compressed by better information, though no single construction or curing floor governs the whole stage; S5: within the scoped design-and-test work, failures occur on mock-ups and are informative and containable, at the material cost of months of fabrication and scarce facility time; the severe consequences of a plasma-facing component failure in an operating machine fall to the commissioning and reliability stages and are coded there; scope caveat: frozen V1 scope is pilot-relevant design, engineering, testing and pre-integration and excludes fabrication after design maturity, construction, integrated commissioning and fleet rollout; this row is routed to fusion domain review; critical_path_role remains not_assessed.</x:v>
      </x:c>
      <x:c r="M52" s="3" t="str">
        <x:v>S1: 2 — plasma-facing component work combines thermal and materials analysis with physical prototype and exposure testing; S2: 1 — Intermediate judgment: representative design-test iterations often take months to years; S3 cost: 1 — Intermediate judgment: coupon studies are repeatable, but high-heat-flux and integrated tests are costly and scarce; S3 throughput: small samples can run in parallel, while representative facilities constrain decisive throughput; S4: 1 — Intermediate judgment: fabrication and exposure-test floors dominate much of the cycle without eliminating design work; S5: 1 — Intermediate judgment: failures can damage components or contaminate plasma, though pre-integration testing contains many errors; scope caveat: pilot-relevant design, testing, and pre-integration only.</x:v>
      </x:c>
      <x:c r="N52" s="3" t="str">
        <x:v>exact_agreement</x:v>
      </x:c>
      <x:c r="O52" s="3" t="str">
        <x:v>not_in_existing_backlog</x:v>
      </x:c>
    </x:row>
    <x:row r="53" ht="236" customHeight="1">
      <x:c r="A53" s="9" t="str">
        <x:v>sp-0023</x:v>
      </x:c>
      <x:c r="B53" s="9" t="str">
        <x:v>S4</x:v>
      </x:c>
      <x:c r="C53" s="9" t="str">
        <x:v>seed-sp-0023-v1</x:v>
      </x:c>
      <x:c r="D53" s="9" t="str">
        <x:v>independent-sp-0023-v1</x:v>
      </x:c>
      <x:c r="E53" s="9" t="str"/>
      <x:c r="F53" s="9" t="str"/>
      <x:c r="G53" s="9" t="str"/>
      <x:c r="H53" s="9" t="str"/>
      <x:c r="I53" s="9" t="str"/>
      <x:c r="J53" s="9" t="str"/>
      <x:c r="K53" s="9" t="str"/>
      <x:c r="L53" s="9" t="str">
        <x:v>S1: thermo-mechanical design and analysis of plasma-facing components is substantial and informational, but the determining questions, namely joint integrity under cyclic heat flux, erosion and the behaviour of neutron-damaged material, are settled physically; both are material and neither dominates; S2: intermediate judgment - analysis iterates in weeks, but the loop that decides a design is fabricate a mock-up and cycle it in a high-heat-flux facility, which takes many months per iteration and is slower than the weeks-to-months anchor without being decade-scale; S3 cost: cost and throughput diverge - small mock-ups can be produced in modest batches at moderate cost, but joining refractory metals to heat-sink alloys is difficult and each qualified mock-up is expensive; S3 throughput: batch fabrication gives limited parallelism, but high-heat-flux and neutron-relevant testing depends on a handful of facilities with long queues, so realised throughput is low; S4: intermediate judgment - joining and heat-treatment cycles, and above all thermal-fatigue campaigns that must accumulate large numbers of cycles, set the iteration clock and cannot be compressed by better information, though no single construction or curing floor governs the whole stage; S5: within the scoped design-and-test work, failures occur on mock-ups and are informative and containable, at the material cost of months of fabrication and scarce facility time; the severe consequences of a plasma-facing component failure in an operating machine fall to the commissioning and reliability stages and are coded there; scope caveat: frozen V1 scope is pilot-relevant design, engineering, testing and pre-integration and excludes fabrication after design maturity, construction, integrated commissioning and fleet rollout; this row is routed to fusion domain review; critical_path_role remains not_assessed.</x:v>
      </x:c>
      <x:c r="M53" s="9" t="str">
        <x:v>S1: 2 — plasma-facing component work combines thermal and materials analysis with physical prototype and exposure testing; S2: 1 — Intermediate judgment: representative design-test iterations often take months to years; S3 cost: 1 — Intermediate judgment: coupon studies are repeatable, but high-heat-flux and integrated tests are costly and scarce; S3 throughput: small samples can run in parallel, while representative facilities constrain decisive throughput; S4: 1 — Intermediate judgment: fabrication and exposure-test floors dominate much of the cycle without eliminating design work; S5: 1 — Intermediate judgment: failures can damage components or contaminate plasma, though pre-integration testing contains many errors; scope caveat: pilot-relevant design, testing, and pre-integration only.</x:v>
      </x:c>
      <x:c r="N53" s="9" t="str">
        <x:v>exact_agreement</x:v>
      </x:c>
      <x:c r="O53" s="9" t="str">
        <x:v>not_in_existing_backlog</x:v>
      </x:c>
    </x:row>
    <x:row r="54" ht="236" customHeight="1">
      <x:c r="A54" s="3" t="str">
        <x:v>sp-0023</x:v>
      </x:c>
      <x:c r="B54" s="3" t="str">
        <x:v>S5</x:v>
      </x:c>
      <x:c r="C54" s="3" t="str">
        <x:v>seed-sp-0023-v1</x:v>
      </x:c>
      <x:c r="D54" s="3" t="str">
        <x:v>independent-sp-0023-v1</x:v>
      </x:c>
      <x:c r="E54" s="3" t="str"/>
      <x:c r="F54" s="3" t="str"/>
      <x:c r="G54" s="3" t="str"/>
      <x:c r="H54" s="3" t="str"/>
      <x:c r="I54" s="3" t="str"/>
      <x:c r="J54" s="3" t="str"/>
      <x:c r="K54" s="3" t="str"/>
      <x:c r="L54" s="3" t="str">
        <x:v>S1: thermo-mechanical design and analysis of plasma-facing components is substantial and informational, but the determining questions, namely joint integrity under cyclic heat flux, erosion and the behaviour of neutron-damaged material, are settled physically; both are material and neither dominates; S2: intermediate judgment - analysis iterates in weeks, but the loop that decides a design is fabricate a mock-up and cycle it in a high-heat-flux facility, which takes many months per iteration and is slower than the weeks-to-months anchor without being decade-scale; S3 cost: cost and throughput diverge - small mock-ups can be produced in modest batches at moderate cost, but joining refractory metals to heat-sink alloys is difficult and each qualified mock-up is expensive; S3 throughput: batch fabrication gives limited parallelism, but high-heat-flux and neutron-relevant testing depends on a handful of facilities with long queues, so realised throughput is low; S4: intermediate judgment - joining and heat-treatment cycles, and above all thermal-fatigue campaigns that must accumulate large numbers of cycles, set the iteration clock and cannot be compressed by better information, though no single construction or curing floor governs the whole stage; S5: within the scoped design-and-test work, failures occur on mock-ups and are informative and containable, at the material cost of months of fabrication and scarce facility time; the severe consequences of a plasma-facing component failure in an operating machine fall to the commissioning and reliability stages and are coded there; scope caveat: frozen V1 scope is pilot-relevant design, engineering, testing and pre-integration and excludes fabrication after design maturity, construction, integrated commissioning and fleet rollout; this row is routed to fusion domain review; critical_path_role remains not_assessed.</x:v>
      </x:c>
      <x:c r="M54" s="3" t="str">
        <x:v>S1: 2 — plasma-facing component work combines thermal and materials analysis with physical prototype and exposure testing; S2: 1 — Intermediate judgment: representative design-test iterations often take months to years; S3 cost: 1 — Intermediate judgment: coupon studies are repeatable, but high-heat-flux and integrated tests are costly and scarce; S3 throughput: small samples can run in parallel, while representative facilities constrain decisive throughput; S4: 1 — Intermediate judgment: fabrication and exposure-test floors dominate much of the cycle without eliminating design work; S5: 1 — Intermediate judgment: failures can damage components or contaminate plasma, though pre-integration testing contains many errors; scope caveat: pilot-relevant design, testing, and pre-integration only.</x:v>
      </x:c>
      <x:c r="N54" s="3" t="str">
        <x:v>one_point_difference</x:v>
      </x:c>
      <x:c r="O54" s="3" t="str">
        <x:v>audit_trail_retained_pending_targeted_s5_adjudication</x:v>
      </x:c>
    </x:row>
    <x:row r="55" ht="268" customHeight="1">
      <x:c r="A55" s="9" t="str">
        <x:v>sp-0024</x:v>
      </x:c>
      <x:c r="B55" s="9" t="str">
        <x:v>S1</x:v>
      </x:c>
      <x:c r="C55" s="9" t="str">
        <x:v>seed-sp-0024-v1</x:v>
      </x:c>
      <x:c r="D55" s="9" t="str">
        <x:v>independent-sp-0024-v1</x:v>
      </x:c>
      <x:c r="E55" s="9" t="str"/>
      <x:c r="F55" s="9" t="str"/>
      <x:c r="G55" s="9" t="str"/>
      <x:c r="H55" s="9" t="str"/>
      <x:c r="I55" s="9" t="str"/>
      <x:c r="J55" s="9" t="str"/>
      <x:c r="K55" s="9" t="str"/>
      <x:c r="L55" s="9" t="str">
        <x:v>S1: intermediate judgment - process design, inventory modelling and permeation analysis are real informational contributors, which keeps this above the fully physical anchor, but progress is set by physical processing experiments in a very small number of licensed facilities and the design cannot be closed without empirical data that does not exist at pilot scale; S2: intermediate judgment - surrogate hydrogen and deuterium loops iterate in weeks to months, but tritium-relevant results require licensed-facility campaigns with their own authorisation cycles measured in many months to years, which is slower than the weeks-to-months anchor without being decade-scale; S3 cost: cost and throughput diverge - surrogate loops are inexpensive and repeatable, while any attempt using tritium depends on a scarce and costly inventory and on facilities that are few worldwide; S3 throughput: surrogate attempts parallelise, but decision-relevant tritium attempts are limited by inventory, licensed floor space and authorisation, so realised throughput is very low and this holds the coding at the low end; S4: intermediate judgment - the design work carries no construction or curing floor of its own, but tritium inventory build-up, permeation and retention equilibration times, and licensed-facility access windows impose hard minimum durations on every decision-relevant experiment; S5: intermediate judgment - routine design and surrogate errors are recoverable, but errors involving tritium produce irreversible release of a regulated radionuclide with contamination, reporting and licence consequences that extend beyond the operator, placing the stage well below the containable-error anchor; scope caveat: frozen V1 scope is pilot-relevant design, engineering, testing and pre-integration and excludes fabrication after design maturity, construction, commissioning and fleet rollout; confidence is low because pilot-scale fuel-cycle performance is not demonstrated anywhere and the coding rests on inference from smaller-scale practice; this row is routed to fusion domain review as a priority case; critical_path_role remains not_assessed.</x:v>
      </x:c>
      <x:c r="M55" s="9" t="str">
        <x:v>S1: 1 — Intermediate judgment: system design and inventory modelling matter, but physical tritium handling, processing, containment, and accountancy dominate progress; S2: 1 — Intermediate judgment: representative subsystem iterations commonly take months to years; S3 cost: 0 — tritium-capable attempts require scarce, tightly controlled, expensive facilities and material inventories; S3 throughput: radiological controls and limited infrastructure make testing highly constrained and often serial; S4: 1 — Intermediate judgment: material handling, conditioning, and integration floors dominate much of elapsed time but not every design task; S5: 0 — containment or inventory errors can create severe radiological, safety, and regulatory consequences; scope caveat: pilot-relevant pre-integration development only, not routine commercial operation.</x:v>
      </x:c>
      <x:c r="N55" s="9" t="str">
        <x:v>exact_agreement</x:v>
      </x:c>
      <x:c r="O55" s="9" t="str">
        <x:v>not_in_existing_backlog</x:v>
      </x:c>
    </x:row>
    <x:row r="56" ht="268" customHeight="1">
      <x:c r="A56" s="3" t="str">
        <x:v>sp-0024</x:v>
      </x:c>
      <x:c r="B56" s="3" t="str">
        <x:v>S2</x:v>
      </x:c>
      <x:c r="C56" s="3" t="str">
        <x:v>seed-sp-0024-v1</x:v>
      </x:c>
      <x:c r="D56" s="3" t="str">
        <x:v>independent-sp-0024-v1</x:v>
      </x:c>
      <x:c r="E56" s="3" t="str"/>
      <x:c r="F56" s="3" t="str"/>
      <x:c r="G56" s="3" t="str"/>
      <x:c r="H56" s="3" t="str"/>
      <x:c r="I56" s="3" t="str"/>
      <x:c r="J56" s="3" t="str"/>
      <x:c r="K56" s="3" t="str"/>
      <x:c r="L56" s="3" t="str">
        <x:v>S1: intermediate judgment - process design, inventory modelling and permeation analysis are real informational contributors, which keeps this above the fully physical anchor, but progress is set by physical processing experiments in a very small number of licensed facilities and the design cannot be closed without empirical data that does not exist at pilot scale; S2: intermediate judgment - surrogate hydrogen and deuterium loops iterate in weeks to months, but tritium-relevant results require licensed-facility campaigns with their own authorisation cycles measured in many months to years, which is slower than the weeks-to-months anchor without being decade-scale; S3 cost: cost and throughput diverge - surrogate loops are inexpensive and repeatable, while any attempt using tritium depends on a scarce and costly inventory and on facilities that are few worldwide; S3 throughput: surrogate attempts parallelise, but decision-relevant tritium attempts are limited by inventory, licensed floor space and authorisation, so realised throughput is very low and this holds the coding at the low end; S4: intermediate judgment - the design work carries no construction or curing floor of its own, but tritium inventory build-up, permeation and retention equilibration times, and licensed-facility access windows impose hard minimum durations on every decision-relevant experiment; S5: intermediate judgment - routine design and surrogate errors are recoverable, but errors involving tritium produce irreversible release of a regulated radionuclide with contamination, reporting and licence consequences that extend beyond the operator, placing the stage well below the containable-error anchor; scope caveat: frozen V1 scope is pilot-relevant design, engineering, testing and pre-integration and excludes fabrication after design maturity, construction, commissioning and fleet rollout; confidence is low because pilot-scale fuel-cycle performance is not demonstrated anywhere and the coding rests on inference from smaller-scale practice; this row is routed to fusion domain review as a priority case; critical_path_role remains not_assessed.</x:v>
      </x:c>
      <x:c r="M56" s="3" t="str">
        <x:v>S1: 1 — Intermediate judgment: system design and inventory modelling matter, but physical tritium handling, processing, containment, and accountancy dominate progress; S2: 1 — Intermediate judgment: representative subsystem iterations commonly take months to years; S3 cost: 0 — tritium-capable attempts require scarce, tightly controlled, expensive facilities and material inventories; S3 throughput: radiological controls and limited infrastructure make testing highly constrained and often serial; S4: 1 — Intermediate judgment: material handling, conditioning, and integration floors dominate much of elapsed time but not every design task; S5: 0 — containment or inventory errors can create severe radiological, safety, and regulatory consequences; scope caveat: pilot-relevant pre-integration development only, not routine commercial operation.</x:v>
      </x:c>
      <x:c r="N56" s="3" t="str">
        <x:v>exact_agreement</x:v>
      </x:c>
      <x:c r="O56" s="3" t="str">
        <x:v>not_in_existing_backlog</x:v>
      </x:c>
    </x:row>
    <x:row r="57" ht="268" customHeight="1">
      <x:c r="A57" s="9" t="str">
        <x:v>sp-0024</x:v>
      </x:c>
      <x:c r="B57" s="9" t="str">
        <x:v>S3</x:v>
      </x:c>
      <x:c r="C57" s="9" t="str">
        <x:v>seed-sp-0024-v1</x:v>
      </x:c>
      <x:c r="D57" s="9" t="str">
        <x:v>independent-sp-0024-v1</x:v>
      </x:c>
      <x:c r="E57" s="9" t="str"/>
      <x:c r="F57" s="9" t="str"/>
      <x:c r="G57" s="9" t="str">
        <x:v>exc-sp-0024-s3</x:v>
      </x:c>
      <x:c r="H57" s="9" t="str">
        <x:v>prefer_seed</x:v>
      </x:c>
      <x:c r="I57" s="9" t="str">
        <x:v>Select S3=1. Direct tritium-capable tests are scarce and tightly controlled, but the broad frozen stage also includes repeatable modelling, surrogate-isotope work and subsystem tests. A low intermediate value better represents the mixed attempt set than an absolute bottom anchor.</x:v>
      </x:c>
      <x:c r="J57" s="9" t="str"/>
      <x:c r="K57" s="9" t="str">
        <x:v>owner_preference_recorded</x:v>
      </x:c>
      <x:c r="L57" s="9" t="str">
        <x:v>S1: intermediate judgment - process design, inventory modelling and permeation analysis are real informational contributors, which keeps this above the fully physical anchor, but progress is set by physical processing experiments in a very small number of licensed facilities and the design cannot be closed without empirical data that does not exist at pilot scale; S2: intermediate judgment - surrogate hydrogen and deuterium loops iterate in weeks to months, but tritium-relevant results require licensed-facility campaigns with their own authorisation cycles measured in many months to years, which is slower than the weeks-to-months anchor without being decade-scale; S3 cost: cost and throughput diverge - surrogate loops are inexpensive and repeatable, while any attempt using tritium depends on a scarce and costly inventory and on facilities that are few worldwide; S3 throughput: surrogate attempts parallelise, but decision-relevant tritium attempts are limited by inventory, licensed floor space and authorisation, so realised throughput is very low and this holds the coding at the low end; S4: intermediate judgment - the design work carries no construction or curing floor of its own, but tritium inventory build-up, permeation and retention equilibration times, and licensed-facility access windows impose hard minimum durations on every decision-relevant experiment; S5: intermediate judgment - routine design and surrogate errors are recoverable, but errors involving tritium produce irreversible release of a regulated radionuclide with contamination, reporting and licence consequences that extend beyond the operator, placing the stage well below the containable-error anchor; scope caveat: frozen V1 scope is pilot-relevant design, engineering, testing and pre-integration and excludes fabrication after design maturity, construction, commissioning and fleet rollout; confidence is low because pilot-scale fuel-cycle performance is not demonstrated anywhere and the coding rests on inference from smaller-scale practice; this row is routed to fusion domain review as a priority case; critical_path_role remains not_assessed.</x:v>
      </x:c>
      <x:c r="M57" s="9" t="str">
        <x:v>S1: 1 — Intermediate judgment: system design and inventory modelling matter, but physical tritium handling, processing, containment, and accountancy dominate progress; S2: 1 — Intermediate judgment: representative subsystem iterations commonly take months to years; S3 cost: 0 — tritium-capable attempts require scarce, tightly controlled, expensive facilities and material inventories; S3 throughput: radiological controls and limited infrastructure make testing highly constrained and often serial; S4: 1 — Intermediate judgment: material handling, conditioning, and integration floors dominate much of elapsed time but not every design task; S5: 0 — containment or inventory errors can create severe radiological, safety, and regulatory consequences; scope caveat: pilot-relevant pre-integration development only, not routine commercial operation.</x:v>
      </x:c>
      <x:c r="N57" s="9" t="str">
        <x:v>one_point_difference</x:v>
      </x:c>
      <x:c r="O57" s="9" t="str">
        <x:v>not_in_existing_backlog</x:v>
      </x:c>
    </x:row>
    <x:row r="58" ht="268" customHeight="1">
      <x:c r="A58" s="3" t="str">
        <x:v>sp-0024</x:v>
      </x:c>
      <x:c r="B58" s="3" t="str">
        <x:v>S4</x:v>
      </x:c>
      <x:c r="C58" s="3" t="str">
        <x:v>seed-sp-0024-v1</x:v>
      </x:c>
      <x:c r="D58" s="3" t="str">
        <x:v>independent-sp-0024-v1</x:v>
      </x:c>
      <x:c r="E58" s="3" t="str"/>
      <x:c r="F58" s="3" t="str"/>
      <x:c r="G58" s="3" t="str"/>
      <x:c r="H58" s="3" t="str"/>
      <x:c r="I58" s="3" t="str"/>
      <x:c r="J58" s="3" t="str"/>
      <x:c r="K58" s="3" t="str"/>
      <x:c r="L58" s="3" t="str">
        <x:v>S1: intermediate judgment - process design, inventory modelling and permeation analysis are real informational contributors, which keeps this above the fully physical anchor, but progress is set by physical processing experiments in a very small number of licensed facilities and the design cannot be closed without empirical data that does not exist at pilot scale; S2: intermediate judgment - surrogate hydrogen and deuterium loops iterate in weeks to months, but tritium-relevant results require licensed-facility campaigns with their own authorisation cycles measured in many months to years, which is slower than the weeks-to-months anchor without being decade-scale; S3 cost: cost and throughput diverge - surrogate loops are inexpensive and repeatable, while any attempt using tritium depends on a scarce and costly inventory and on facilities that are few worldwide; S3 throughput: surrogate attempts parallelise, but decision-relevant tritium attempts are limited by inventory, licensed floor space and authorisation, so realised throughput is very low and this holds the coding at the low end; S4: intermediate judgment - the design work carries no construction or curing floor of its own, but tritium inventory build-up, permeation and retention equilibration times, and licensed-facility access windows impose hard minimum durations on every decision-relevant experiment; S5: intermediate judgment - routine design and surrogate errors are recoverable, but errors involving tritium produce irreversible release of a regulated radionuclide with contamination, reporting and licence consequences that extend beyond the operator, placing the stage well below the containable-error anchor; scope caveat: frozen V1 scope is pilot-relevant design, engineering, testing and pre-integration and excludes fabrication after design maturity, construction, commissioning and fleet rollout; confidence is low because pilot-scale fuel-cycle performance is not demonstrated anywhere and the coding rests on inference from smaller-scale practice; this row is routed to fusion domain review as a priority case; critical_path_role remains not_assessed.</x:v>
      </x:c>
      <x:c r="M58" s="3" t="str">
        <x:v>S1: 1 — Intermediate judgment: system design and inventory modelling matter, but physical tritium handling, processing, containment, and accountancy dominate progress; S2: 1 — Intermediate judgment: representative subsystem iterations commonly take months to years; S3 cost: 0 — tritium-capable attempts require scarce, tightly controlled, expensive facilities and material inventories; S3 throughput: radiological controls and limited infrastructure make testing highly constrained and often serial; S4: 1 — Intermediate judgment: material handling, conditioning, and integration floors dominate much of elapsed time but not every design task; S5: 0 — containment or inventory errors can create severe radiological, safety, and regulatory consequences; scope caveat: pilot-relevant pre-integration development only, not routine commercial operation.</x:v>
      </x:c>
      <x:c r="N58" s="3" t="str">
        <x:v>exact_agreement</x:v>
      </x:c>
      <x:c r="O58" s="3" t="str">
        <x:v>not_in_existing_backlog</x:v>
      </x:c>
    </x:row>
    <x:row r="59" ht="268" customHeight="1">
      <x:c r="A59" s="9" t="str">
        <x:v>sp-0024</x:v>
      </x:c>
      <x:c r="B59" s="9" t="str">
        <x:v>S5</x:v>
      </x:c>
      <x:c r="C59" s="9" t="str">
        <x:v>seed-sp-0024-v1</x:v>
      </x:c>
      <x:c r="D59" s="9" t="str">
        <x:v>independent-sp-0024-v1</x:v>
      </x:c>
      <x:c r="E59" s="9" t="str"/>
      <x:c r="F59" s="9" t="str"/>
      <x:c r="G59" s="9" t="str">
        <x:v>exc-sp-0024-s5</x:v>
      </x:c>
      <x:c r="H59" s="9" t="str">
        <x:v>prefer_seed</x:v>
      </x:c>
      <x:c r="I59" s="9" t="str">
        <x:v>Select S5=1. Tritium-accountancy, containment or release errors can have serious radiological and regulatory consequences, but development-stage work is conducted through layered containment and many errors remain detectable and recoverable. S5=0 overgeneralizes the worst case to every error.</x:v>
      </x:c>
      <x:c r="J59" s="9" t="str"/>
      <x:c r="K59" s="9" t="str">
        <x:v>owner_preference_recorded</x:v>
      </x:c>
      <x:c r="L59" s="9" t="str">
        <x:v>S1: intermediate judgment - process design, inventory modelling and permeation analysis are real informational contributors, which keeps this above the fully physical anchor, but progress is set by physical processing experiments in a very small number of licensed facilities and the design cannot be closed without empirical data that does not exist at pilot scale; S2: intermediate judgment - surrogate hydrogen and deuterium loops iterate in weeks to months, but tritium-relevant results require licensed-facility campaigns with their own authorisation cycles measured in many months to years, which is slower than the weeks-to-months anchor without being decade-scale; S3 cost: cost and throughput diverge - surrogate loops are inexpensive and repeatable, while any attempt using tritium depends on a scarce and costly inventory and on facilities that are few worldwide; S3 throughput: surrogate attempts parallelise, but decision-relevant tritium attempts are limited by inventory, licensed floor space and authorisation, so realised throughput is very low and this holds the coding at the low end; S4: intermediate judgment - the design work carries no construction or curing floor of its own, but tritium inventory build-up, permeation and retention equilibration times, and licensed-facility access windows impose hard minimum durations on every decision-relevant experiment; S5: intermediate judgment - routine design and surrogate errors are recoverable, but errors involving tritium produce irreversible release of a regulated radionuclide with contamination, reporting and licence consequences that extend beyond the operator, placing the stage well below the containable-error anchor; scope caveat: frozen V1 scope is pilot-relevant design, engineering, testing and pre-integration and excludes fabrication after design maturity, construction, commissioning and fleet rollout; confidence is low because pilot-scale fuel-cycle performance is not demonstrated anywhere and the coding rests on inference from smaller-scale practice; this row is routed to fusion domain review as a priority case; critical_path_role remains not_assessed.</x:v>
      </x:c>
      <x:c r="M59" s="9" t="str">
        <x:v>S1: 1 — Intermediate judgment: system design and inventory modelling matter, but physical tritium handling, processing, containment, and accountancy dominate progress; S2: 1 — Intermediate judgment: representative subsystem iterations commonly take months to years; S3 cost: 0 — tritium-capable attempts require scarce, tightly controlled, expensive facilities and material inventories; S3 throughput: radiological controls and limited infrastructure make testing highly constrained and often serial; S4: 1 — Intermediate judgment: material handling, conditioning, and integration floors dominate much of elapsed time but not every design task; S5: 0 — containment or inventory errors can create severe radiological, safety, and regulatory consequences; scope caveat: pilot-relevant pre-integration development only, not routine commercial operation.</x:v>
      </x:c>
      <x:c r="N59" s="9" t="str">
        <x:v>one_point_difference</x:v>
      </x:c>
      <x:c r="O59" s="9" t="str">
        <x:v>owner_disposition_recorded_pending_targeted_s5_adjudication</x:v>
      </x:c>
    </x:row>
    <x:row r="60" ht="252" customHeight="1">
      <x:c r="A60" s="3" t="str">
        <x:v>sp-0025</x:v>
      </x:c>
      <x:c r="B60" s="3" t="str">
        <x:v>S1</x:v>
      </x:c>
      <x:c r="C60" s="3" t="str">
        <x:v>seed-sp-0025-v1</x:v>
      </x:c>
      <x:c r="D60" s="3" t="str">
        <x:v>independent-sp-0025-v1</x:v>
      </x:c>
      <x:c r="E60" s="3" t="str"/>
      <x:c r="F60" s="3" t="str"/>
      <x:c r="G60" s="3" t="str"/>
      <x:c r="H60" s="3" t="str"/>
      <x:c r="I60" s="3" t="str"/>
      <x:c r="J60" s="3" t="str"/>
      <x:c r="K60" s="3" t="str"/>
      <x:c r="L60" s="3" t="str">
        <x:v>S1: neutronics, thermo-hydraulic and thermo-mechanical simulation carry an unusually large share of blanket development precisely because no integrated test environment exists, but the design cannot be closed without physical breeding and thermo-mechanical validation; both are material and neither dominates; S2: the ordinary loop for validating a breeding-blanket concept is build a module and expose it to a fusion-relevant neutron environment, which is measured in years to decades and, for an integrated test, is not presently available at all; S3 cost: cost and throughput diverge - sub-component thermo-hydraulic mock-ups and neutronics benchmark measurements are repeatable at moderate cost and can be run in parallel, which keeps the coding above the scarce-and-expensive anchor; S3 throughput: no attempt that tests integrated breeding-blanket performance in a fusion neutron spectrum is presently available at any price, so decision-relevant throughput is effectively zero; S4: intermediate judgment - design and analysis proceed with no floor of their own, but every validating step is gated by fabrication cycles and by exposure durations in an environment that does not yet exist, so elapsed time is largely outside the stage's control without a single named floor dominating the design work itself; S5: intermediate judgment - analytical errors are correctable while the work remains on paper, but validating articles are few and expensive, and errors in systems handling lithium-lead, beryllium or tritium-bearing coolant carry chemical and radiological consequences that are not cheaply reversible; scope caveat: frozen V1 scope is pilot-relevant design, engineering, testing and pre-integration and excludes fabrication after design maturity, construction, commissioning and fleet rollout; confidence is low because the tritium breeding ratio and integrated blanket performance are unvalidated at any scale and different blanket concepts may warrant distinct profiles; this row is routed to fusion domain review as a priority case; critical_path_role remains not_assessed.</x:v>
      </x:c>
      <x:c r="M60" s="3" t="str">
        <x:v>S1: 2 — blanket progress combines neutronics, thermal, structural, and fuel-cycle design with physical prototype and integration tests; S2: 1 — Intermediate judgment: meaningful blanket iterations commonly take months to years; S3 cost: 1 — Intermediate judgment: analytical and coupon attempts are repeatable, but representative integrated tests are expensive and scarce; S3 throughput: subcomponent work can parallelize, while relevant irradiation and integrated facilities sharply constrain throughput; S4: 1 — Intermediate judgment: fabrication, exposure, and integration floors dominate much of elapsed time; S5: 0 — failures can compromise heat removal, tritium functions, structural integrity, or radiological safety; scope caveat: pilot-relevant design, engineering, testing, and pre-integration only.</x:v>
      </x:c>
      <x:c r="N60" s="3" t="str">
        <x:v>exact_agreement</x:v>
      </x:c>
      <x:c r="O60" s="3" t="str">
        <x:v>not_in_existing_backlog</x:v>
      </x:c>
    </x:row>
    <x:row r="61" ht="252" customHeight="1">
      <x:c r="A61" s="9" t="str">
        <x:v>sp-0025</x:v>
      </x:c>
      <x:c r="B61" s="9" t="str">
        <x:v>S2</x:v>
      </x:c>
      <x:c r="C61" s="9" t="str">
        <x:v>seed-sp-0025-v1</x:v>
      </x:c>
      <x:c r="D61" s="9" t="str">
        <x:v>independent-sp-0025-v1</x:v>
      </x:c>
      <x:c r="E61" s="9" t="str"/>
      <x:c r="F61" s="9" t="str"/>
      <x:c r="G61" s="9" t="str">
        <x:v>exc-sp-0025-s2</x:v>
      </x:c>
      <x:c r="H61" s="9" t="str">
        <x:v>prefer_seed</x:v>
      </x:c>
      <x:c r="I61" s="9" t="str">
        <x:v>Select S2=0. The decision-relevant loop is integrated blanket and tritium-breeding validation in a fusion-relevant neutron environment. That loop is measured in years and is not yet available at power-plant scale; faster analysis and subcomponent tests do not close it.</x:v>
      </x:c>
      <x:c r="J61" s="9" t="str"/>
      <x:c r="K61" s="9" t="str">
        <x:v>owner_preference_recorded</x:v>
      </x:c>
      <x:c r="L61" s="9" t="str">
        <x:v>S1: neutronics, thermo-hydraulic and thermo-mechanical simulation carry an unusually large share of blanket development precisely because no integrated test environment exists, but the design cannot be closed without physical breeding and thermo-mechanical validation; both are material and neither dominates; S2: the ordinary loop for validating a breeding-blanket concept is build a module and expose it to a fusion-relevant neutron environment, which is measured in years to decades and, for an integrated test, is not presently available at all; S3 cost: cost and throughput diverge - sub-component thermo-hydraulic mock-ups and neutronics benchmark measurements are repeatable at moderate cost and can be run in parallel, which keeps the coding above the scarce-and-expensive anchor; S3 throughput: no attempt that tests integrated breeding-blanket performance in a fusion neutron spectrum is presently available at any price, so decision-relevant throughput is effectively zero; S4: intermediate judgment - design and analysis proceed with no floor of their own, but every validating step is gated by fabrication cycles and by exposure durations in an environment that does not yet exist, so elapsed time is largely outside the stage's control without a single named floor dominating the design work itself; S5: intermediate judgment - analytical errors are correctable while the work remains on paper, but validating articles are few and expensive, and errors in systems handling lithium-lead, beryllium or tritium-bearing coolant carry chemical and radiological consequences that are not cheaply reversible; scope caveat: frozen V1 scope is pilot-relevant design, engineering, testing and pre-integration and excludes fabrication after design maturity, construction, commissioning and fleet rollout; confidence is low because the tritium breeding ratio and integrated blanket performance are unvalidated at any scale and different blanket concepts may warrant distinct profiles; this row is routed to fusion domain review as a priority case; critical_path_role remains not_assessed.</x:v>
      </x:c>
      <x:c r="M61" s="9" t="str">
        <x:v>S1: 2 — blanket progress combines neutronics, thermal, structural, and fuel-cycle design with physical prototype and integration tests; S2: 1 — Intermediate judgment: meaningful blanket iterations commonly take months to years; S3 cost: 1 — Intermediate judgment: analytical and coupon attempts are repeatable, but representative integrated tests are expensive and scarce; S3 throughput: subcomponent work can parallelize, while relevant irradiation and integrated facilities sharply constrain throughput; S4: 1 — Intermediate judgment: fabrication, exposure, and integration floors dominate much of elapsed time; S5: 0 — failures can compromise heat removal, tritium functions, structural integrity, or radiological safety; scope caveat: pilot-relevant design, engineering, testing, and pre-integration only.</x:v>
      </x:c>
      <x:c r="N61" s="9" t="str">
        <x:v>one_point_difference</x:v>
      </x:c>
      <x:c r="O61" s="9" t="str">
        <x:v>not_in_existing_backlog</x:v>
      </x:c>
    </x:row>
    <x:row r="62" ht="252" customHeight="1">
      <x:c r="A62" s="3" t="str">
        <x:v>sp-0025</x:v>
      </x:c>
      <x:c r="B62" s="3" t="str">
        <x:v>S3</x:v>
      </x:c>
      <x:c r="C62" s="3" t="str">
        <x:v>seed-sp-0025-v1</x:v>
      </x:c>
      <x:c r="D62" s="3" t="str">
        <x:v>independent-sp-0025-v1</x:v>
      </x:c>
      <x:c r="E62" s="3" t="str"/>
      <x:c r="F62" s="3" t="str"/>
      <x:c r="G62" s="3" t="str"/>
      <x:c r="H62" s="3" t="str"/>
      <x:c r="I62" s="3" t="str"/>
      <x:c r="J62" s="3" t="str"/>
      <x:c r="K62" s="3" t="str"/>
      <x:c r="L62" s="3" t="str">
        <x:v>S1: neutronics, thermo-hydraulic and thermo-mechanical simulation carry an unusually large share of blanket development precisely because no integrated test environment exists, but the design cannot be closed without physical breeding and thermo-mechanical validation; both are material and neither dominates; S2: the ordinary loop for validating a breeding-blanket concept is build a module and expose it to a fusion-relevant neutron environment, which is measured in years to decades and, for an integrated test, is not presently available at all; S3 cost: cost and throughput diverge - sub-component thermo-hydraulic mock-ups and neutronics benchmark measurements are repeatable at moderate cost and can be run in parallel, which keeps the coding above the scarce-and-expensive anchor; S3 throughput: no attempt that tests integrated breeding-blanket performance in a fusion neutron spectrum is presently available at any price, so decision-relevant throughput is effectively zero; S4: intermediate judgment - design and analysis proceed with no floor of their own, but every validating step is gated by fabrication cycles and by exposure durations in an environment that does not yet exist, so elapsed time is largely outside the stage's control without a single named floor dominating the design work itself; S5: intermediate judgment - analytical errors are correctable while the work remains on paper, but validating articles are few and expensive, and errors in systems handling lithium-lead, beryllium or tritium-bearing coolant carry chemical and radiological consequences that are not cheaply reversible; scope caveat: frozen V1 scope is pilot-relevant design, engineering, testing and pre-integration and excludes fabrication after design maturity, construction, commissioning and fleet rollout; confidence is low because the tritium breeding ratio and integrated blanket performance are unvalidated at any scale and different blanket concepts may warrant distinct profiles; this row is routed to fusion domain review as a priority case; critical_path_role remains not_assessed.</x:v>
      </x:c>
      <x:c r="M62" s="3" t="str">
        <x:v>S1: 2 — blanket progress combines neutronics, thermal, structural, and fuel-cycle design with physical prototype and integration tests; S2: 1 — Intermediate judgment: meaningful blanket iterations commonly take months to years; S3 cost: 1 — Intermediate judgment: analytical and coupon attempts are repeatable, but representative integrated tests are expensive and scarce; S3 throughput: subcomponent work can parallelize, while relevant irradiation and integrated facilities sharply constrain throughput; S4: 1 — Intermediate judgment: fabrication, exposure, and integration floors dominate much of elapsed time; S5: 0 — failures can compromise heat removal, tritium functions, structural integrity, or radiological safety; scope caveat: pilot-relevant design, engineering, testing, and pre-integration only.</x:v>
      </x:c>
      <x:c r="N62" s="3" t="str">
        <x:v>exact_agreement</x:v>
      </x:c>
      <x:c r="O62" s="3" t="str">
        <x:v>not_in_existing_backlog</x:v>
      </x:c>
    </x:row>
    <x:row r="63" ht="252" customHeight="1">
      <x:c r="A63" s="9" t="str">
        <x:v>sp-0025</x:v>
      </x:c>
      <x:c r="B63" s="9" t="str">
        <x:v>S4</x:v>
      </x:c>
      <x:c r="C63" s="9" t="str">
        <x:v>seed-sp-0025-v1</x:v>
      </x:c>
      <x:c r="D63" s="9" t="str">
        <x:v>independent-sp-0025-v1</x:v>
      </x:c>
      <x:c r="E63" s="9" t="str"/>
      <x:c r="F63" s="9" t="str"/>
      <x:c r="G63" s="9" t="str"/>
      <x:c r="H63" s="9" t="str"/>
      <x:c r="I63" s="9" t="str"/>
      <x:c r="J63" s="9" t="str"/>
      <x:c r="K63" s="9" t="str"/>
      <x:c r="L63" s="9" t="str">
        <x:v>S1: neutronics, thermo-hydraulic and thermo-mechanical simulation carry an unusually large share of blanket development precisely because no integrated test environment exists, but the design cannot be closed without physical breeding and thermo-mechanical validation; both are material and neither dominates; S2: the ordinary loop for validating a breeding-blanket concept is build a module and expose it to a fusion-relevant neutron environment, which is measured in years to decades and, for an integrated test, is not presently available at all; S3 cost: cost and throughput diverge - sub-component thermo-hydraulic mock-ups and neutronics benchmark measurements are repeatable at moderate cost and can be run in parallel, which keeps the coding above the scarce-and-expensive anchor; S3 throughput: no attempt that tests integrated breeding-blanket performance in a fusion neutron spectrum is presently available at any price, so decision-relevant throughput is effectively zero; S4: intermediate judgment - design and analysis proceed with no floor of their own, but every validating step is gated by fabrication cycles and by exposure durations in an environment that does not yet exist, so elapsed time is largely outside the stage's control without a single named floor dominating the design work itself; S5: intermediate judgment - analytical errors are correctable while the work remains on paper, but validating articles are few and expensive, and errors in systems handling lithium-lead, beryllium or tritium-bearing coolant carry chemical and radiological consequences that are not cheaply reversible; scope caveat: frozen V1 scope is pilot-relevant design, engineering, testing and pre-integration and excludes fabrication after design maturity, construction, commissioning and fleet rollout; confidence is low because the tritium breeding ratio and integrated blanket performance are unvalidated at any scale and different blanket concepts may warrant distinct profiles; this row is routed to fusion domain review as a priority case; critical_path_role remains not_assessed.</x:v>
      </x:c>
      <x:c r="M63" s="9" t="str">
        <x:v>S1: 2 — blanket progress combines neutronics, thermal, structural, and fuel-cycle design with physical prototype and integration tests; S2: 1 — Intermediate judgment: meaningful blanket iterations commonly take months to years; S3 cost: 1 — Intermediate judgment: analytical and coupon attempts are repeatable, but representative integrated tests are expensive and scarce; S3 throughput: subcomponent work can parallelize, while relevant irradiation and integrated facilities sharply constrain throughput; S4: 1 — Intermediate judgment: fabrication, exposure, and integration floors dominate much of elapsed time; S5: 0 — failures can compromise heat removal, tritium functions, structural integrity, or radiological safety; scope caveat: pilot-relevant design, engineering, testing, and pre-integration only.</x:v>
      </x:c>
      <x:c r="N63" s="9" t="str">
        <x:v>exact_agreement</x:v>
      </x:c>
      <x:c r="O63" s="9" t="str">
        <x:v>not_in_existing_backlog</x:v>
      </x:c>
    </x:row>
    <x:row r="64" ht="252" customHeight="1">
      <x:c r="A64" s="3" t="str">
        <x:v>sp-0025</x:v>
      </x:c>
      <x:c r="B64" s="3" t="str">
        <x:v>S5</x:v>
      </x:c>
      <x:c r="C64" s="3" t="str">
        <x:v>seed-sp-0025-v1</x:v>
      </x:c>
      <x:c r="D64" s="3" t="str">
        <x:v>independent-sp-0025-v1</x:v>
      </x:c>
      <x:c r="E64" s="3" t="str"/>
      <x:c r="F64" s="3" t="str"/>
      <x:c r="G64" s="3" t="str">
        <x:v>exc-sp-0025-s5</x:v>
      </x:c>
      <x:c r="H64" s="3" t="str">
        <x:v>prefer_seed</x:v>
      </x:c>
      <x:c r="I64" s="3" t="str">
        <x:v>Select S5=1. Blanket errors can affect heat removal, tritium functions and radiological safety, but the scoped stage is design, testing and pre-integration, where staged experiments and review contain many failures. The consequences are very serious without making every error catastrophic or irreversible.</x:v>
      </x:c>
      <x:c r="J64" s="3" t="str"/>
      <x:c r="K64" s="3" t="str">
        <x:v>owner_preference_recorded</x:v>
      </x:c>
      <x:c r="L64" s="3" t="str">
        <x:v>S1: neutronics, thermo-hydraulic and thermo-mechanical simulation carry an unusually large share of blanket development precisely because no integrated test environment exists, but the design cannot be closed without physical breeding and thermo-mechanical validation; both are material and neither dominates; S2: the ordinary loop for validating a breeding-blanket concept is build a module and expose it to a fusion-relevant neutron environment, which is measured in years to decades and, for an integrated test, is not presently available at all; S3 cost: cost and throughput diverge - sub-component thermo-hydraulic mock-ups and neutronics benchmark measurements are repeatable at moderate cost and can be run in parallel, which keeps the coding above the scarce-and-expensive anchor; S3 throughput: no attempt that tests integrated breeding-blanket performance in a fusion neutron spectrum is presently available at any price, so decision-relevant throughput is effectively zero; S4: intermediate judgment - design and analysis proceed with no floor of their own, but every validating step is gated by fabrication cycles and by exposure durations in an environment that does not yet exist, so elapsed time is largely outside the stage's control without a single named floor dominating the design work itself; S5: intermediate judgment - analytical errors are correctable while the work remains on paper, but validating articles are few and expensive, and errors in systems handling lithium-lead, beryllium or tritium-bearing coolant carry chemical and radiological consequences that are not cheaply reversible; scope caveat: frozen V1 scope is pilot-relevant design, engineering, testing and pre-integration and excludes fabrication after design maturity, construction, commissioning and fleet rollout; confidence is low because the tritium breeding ratio and integrated blanket performance are unvalidated at any scale and different blanket concepts may warrant distinct profiles; this row is routed to fusion domain review as a priority case; critical_path_role remains not_assessed.</x:v>
      </x:c>
      <x:c r="M64" s="3" t="str">
        <x:v>S1: 2 — blanket progress combines neutronics, thermal, structural, and fuel-cycle design with physical prototype and integration tests; S2: 1 — Intermediate judgment: meaningful blanket iterations commonly take months to years; S3 cost: 1 — Intermediate judgment: analytical and coupon attempts are repeatable, but representative integrated tests are expensive and scarce; S3 throughput: subcomponent work can parallelize, while relevant irradiation and integrated facilities sharply constrain throughput; S4: 1 — Intermediate judgment: fabrication, exposure, and integration floors dominate much of elapsed time; S5: 0 — failures can compromise heat removal, tritium functions, structural integrity, or radiological safety; scope caveat: pilot-relevant design, engineering, testing, and pre-integration only.</x:v>
      </x:c>
      <x:c r="N64" s="3" t="str">
        <x:v>one_point_difference</x:v>
      </x:c>
      <x:c r="O64" s="3" t="str">
        <x:v>owner_disposition_recorded_pending_targeted_s5_adjudication</x:v>
      </x:c>
    </x:row>
    <x:row r="65" ht="220" customHeight="1">
      <x:c r="A65" s="9" t="str">
        <x:v>sp-0026</x:v>
      </x:c>
      <x:c r="B65" s="9" t="str">
        <x:v>S1</x:v>
      </x:c>
      <x:c r="C65" s="9" t="str">
        <x:v>seed-sp-0026-v1</x:v>
      </x:c>
      <x:c r="D65" s="9" t="str">
        <x:v>independent-sp-0026-v1</x:v>
      </x:c>
      <x:c r="E65" s="9" t="str"/>
      <x:c r="F65" s="9" t="str"/>
      <x:c r="G65" s="9" t="str"/>
      <x:c r="H65" s="9" t="str"/>
      <x:c r="I65" s="9" t="str"/>
      <x:c r="J65" s="9" t="str"/>
      <x:c r="K65" s="9" t="str"/>
      <x:c r="L65" s="9" t="str">
        <x:v>S1: intermediate judgment - process planning, metrology and digital work-instruction management are real contributors, which keeps this above the fully physical anchor, but progress is the physical fabrication of large first-of-a-kind components; S2: intermediate judgment - welding-procedure and process-qualification iterations return in weeks to months, but the loop that matters, completing a first-of-a-kind component and discovering its actual deviations, runs many months to years; that is slower than the weeks-to-months anchor without reaching decade scale for a single component; S3 cost: cost and throughput diverge - coupon and sub-assembly trials are affordable and modestly parallel, while each full component costs tens of millions of currency units; S3 throughput: only a handful of each component exists, and although near-identical components permit real serial learning between units, decision-relevant attempts are very few and largely serial; S4: clock time is dominated by physical floors - machining, welding, heat treatment, winding, dimensional inspection and non-destructive examination each impose durations that no amount of information can compress; S5: intermediate judgment - a non-conformance is repairable in principle, but on a first-of-a-kind component it consumes the only article, forces re-fabrication measured in months to years and can propagate to the whole assembly schedule, so errors are materially worse than containable without being irreversible in the safety sense; scope caveat: frozen V1 scope is fabrication after design maturity and excludes earlier subsystem design and materials qualification, site construction, integrated commissioning and commercial-fleet production; this row is routed to fusion domain review; critical_path_role remains not_assessed.</x:v>
      </x:c>
      <x:c r="M65" s="9" t="str">
        <x:v>S1: 0 — progress occurs primarily through physical fabrication, joining, assembly, and inspection after design maturity; S2: 1 — Intermediate judgment: bespoke pilot-component fabrication iterations often take months to years; S3 cost: 0 — full component attempts consume high-value material, specialist labor, and scarce equipment; S3 throughput: large custom components are capacity-limited and predominantly serial even when subparts run in parallel; S4: 0 — fabrication, treatment, joining, and inspection floors dominate elapsed time; S5: 1 — Intermediate judgment: defects can be irreparable or require scrapping high-value parts, while inspection may contain them before installation; scope caveat: pilot components after design maturity, excluding earlier qualification and commercial-fleet production.</x:v>
      </x:c>
      <x:c r="N65" s="9" t="str">
        <x:v>one_point_difference</x:v>
      </x:c>
      <x:c r="O65" s="9" t="str">
        <x:v>not_in_existing_backlog</x:v>
      </x:c>
    </x:row>
    <x:row r="66" ht="220" customHeight="1">
      <x:c r="A66" s="3" t="str">
        <x:v>sp-0026</x:v>
      </x:c>
      <x:c r="B66" s="3" t="str">
        <x:v>S2</x:v>
      </x:c>
      <x:c r="C66" s="3" t="str">
        <x:v>seed-sp-0026-v1</x:v>
      </x:c>
      <x:c r="D66" s="3" t="str">
        <x:v>independent-sp-0026-v1</x:v>
      </x:c>
      <x:c r="E66" s="3" t="str"/>
      <x:c r="F66" s="3" t="str"/>
      <x:c r="G66" s="3" t="str"/>
      <x:c r="H66" s="3" t="str"/>
      <x:c r="I66" s="3" t="str"/>
      <x:c r="J66" s="3" t="str"/>
      <x:c r="K66" s="3" t="str"/>
      <x:c r="L66" s="3" t="str">
        <x:v>S1: intermediate judgment - process planning, metrology and digital work-instruction management are real contributors, which keeps this above the fully physical anchor, but progress is the physical fabrication of large first-of-a-kind components; S2: intermediate judgment - welding-procedure and process-qualification iterations return in weeks to months, but the loop that matters, completing a first-of-a-kind component and discovering its actual deviations, runs many months to years; that is slower than the weeks-to-months anchor without reaching decade scale for a single component; S3 cost: cost and throughput diverge - coupon and sub-assembly trials are affordable and modestly parallel, while each full component costs tens of millions of currency units; S3 throughput: only a handful of each component exists, and although near-identical components permit real serial learning between units, decision-relevant attempts are very few and largely serial; S4: clock time is dominated by physical floors - machining, welding, heat treatment, winding, dimensional inspection and non-destructive examination each impose durations that no amount of information can compress; S5: intermediate judgment - a non-conformance is repairable in principle, but on a first-of-a-kind component it consumes the only article, forces re-fabrication measured in months to years and can propagate to the whole assembly schedule, so errors are materially worse than containable without being irreversible in the safety sense; scope caveat: frozen V1 scope is fabrication after design maturity and excludes earlier subsystem design and materials qualification, site construction, integrated commissioning and commercial-fleet production; this row is routed to fusion domain review; critical_path_role remains not_assessed.</x:v>
      </x:c>
      <x:c r="M66" s="3" t="str">
        <x:v>S1: 0 — progress occurs primarily through physical fabrication, joining, assembly, and inspection after design maturity; S2: 1 — Intermediate judgment: bespoke pilot-component fabrication iterations often take months to years; S3 cost: 0 — full component attempts consume high-value material, specialist labor, and scarce equipment; S3 throughput: large custom components are capacity-limited and predominantly serial even when subparts run in parallel; S4: 0 — fabrication, treatment, joining, and inspection floors dominate elapsed time; S5: 1 — Intermediate judgment: defects can be irreparable or require scrapping high-value parts, while inspection may contain them before installation; scope caveat: pilot components after design maturity, excluding earlier qualification and commercial-fleet production.</x:v>
      </x:c>
      <x:c r="N66" s="3" t="str">
        <x:v>exact_agreement</x:v>
      </x:c>
      <x:c r="O66" s="3" t="str">
        <x:v>not_in_existing_backlog</x:v>
      </x:c>
    </x:row>
    <x:row r="67" ht="220" customHeight="1">
      <x:c r="A67" s="9" t="str">
        <x:v>sp-0026</x:v>
      </x:c>
      <x:c r="B67" s="9" t="str">
        <x:v>S3</x:v>
      </x:c>
      <x:c r="C67" s="9" t="str">
        <x:v>seed-sp-0026-v1</x:v>
      </x:c>
      <x:c r="D67" s="9" t="str">
        <x:v>independent-sp-0026-v1</x:v>
      </x:c>
      <x:c r="E67" s="9" t="str"/>
      <x:c r="F67" s="9" t="str"/>
      <x:c r="G67" s="9" t="str"/>
      <x:c r="H67" s="9" t="str"/>
      <x:c r="I67" s="9" t="str"/>
      <x:c r="J67" s="9" t="str"/>
      <x:c r="K67" s="9" t="str"/>
      <x:c r="L67" s="9" t="str">
        <x:v>S1: intermediate judgment - process planning, metrology and digital work-instruction management are real contributors, which keeps this above the fully physical anchor, but progress is the physical fabrication of large first-of-a-kind components; S2: intermediate judgment - welding-procedure and process-qualification iterations return in weeks to months, but the loop that matters, completing a first-of-a-kind component and discovering its actual deviations, runs many months to years; that is slower than the weeks-to-months anchor without reaching decade scale for a single component; S3 cost: cost and throughput diverge - coupon and sub-assembly trials are affordable and modestly parallel, while each full component costs tens of millions of currency units; S3 throughput: only a handful of each component exists, and although near-identical components permit real serial learning between units, decision-relevant attempts are very few and largely serial; S4: clock time is dominated by physical floors - machining, welding, heat treatment, winding, dimensional inspection and non-destructive examination each impose durations that no amount of information can compress; S5: intermediate judgment - a non-conformance is repairable in principle, but on a first-of-a-kind component it consumes the only article, forces re-fabrication measured in months to years and can propagate to the whole assembly schedule, so errors are materially worse than containable without being irreversible in the safety sense; scope caveat: frozen V1 scope is fabrication after design maturity and excludes earlier subsystem design and materials qualification, site construction, integrated commissioning and commercial-fleet production; this row is routed to fusion domain review; critical_path_role remains not_assessed.</x:v>
      </x:c>
      <x:c r="M67" s="9" t="str">
        <x:v>S1: 0 — progress occurs primarily through physical fabrication, joining, assembly, and inspection after design maturity; S2: 1 — Intermediate judgment: bespoke pilot-component fabrication iterations often take months to years; S3 cost: 0 — full component attempts consume high-value material, specialist labor, and scarce equipment; S3 throughput: large custom components are capacity-limited and predominantly serial even when subparts run in parallel; S4: 0 — fabrication, treatment, joining, and inspection floors dominate elapsed time; S5: 1 — Intermediate judgment: defects can be irreparable or require scrapping high-value parts, while inspection may contain them before installation; scope caveat: pilot components after design maturity, excluding earlier qualification and commercial-fleet production.</x:v>
      </x:c>
      <x:c r="N67" s="9" t="str">
        <x:v>one_point_difference</x:v>
      </x:c>
      <x:c r="O67" s="9" t="str">
        <x:v>not_in_existing_backlog</x:v>
      </x:c>
    </x:row>
    <x:row r="68" ht="220" customHeight="1">
      <x:c r="A68" s="3" t="str">
        <x:v>sp-0026</x:v>
      </x:c>
      <x:c r="B68" s="3" t="str">
        <x:v>S4</x:v>
      </x:c>
      <x:c r="C68" s="3" t="str">
        <x:v>seed-sp-0026-v1</x:v>
      </x:c>
      <x:c r="D68" s="3" t="str">
        <x:v>independent-sp-0026-v1</x:v>
      </x:c>
      <x:c r="E68" s="3" t="str"/>
      <x:c r="F68" s="3" t="str"/>
      <x:c r="G68" s="3" t="str"/>
      <x:c r="H68" s="3" t="str"/>
      <x:c r="I68" s="3" t="str"/>
      <x:c r="J68" s="3" t="str"/>
      <x:c r="K68" s="3" t="str"/>
      <x:c r="L68" s="3" t="str">
        <x:v>S1: intermediate judgment - process planning, metrology and digital work-instruction management are real contributors, which keeps this above the fully physical anchor, but progress is the physical fabrication of large first-of-a-kind components; S2: intermediate judgment - welding-procedure and process-qualification iterations return in weeks to months, but the loop that matters, completing a first-of-a-kind component and discovering its actual deviations, runs many months to years; that is slower than the weeks-to-months anchor without reaching decade scale for a single component; S3 cost: cost and throughput diverge - coupon and sub-assembly trials are affordable and modestly parallel, while each full component costs tens of millions of currency units; S3 throughput: only a handful of each component exists, and although near-identical components permit real serial learning between units, decision-relevant attempts are very few and largely serial; S4: clock time is dominated by physical floors - machining, welding, heat treatment, winding, dimensional inspection and non-destructive examination each impose durations that no amount of information can compress; S5: intermediate judgment - a non-conformance is repairable in principle, but on a first-of-a-kind component it consumes the only article, forces re-fabrication measured in months to years and can propagate to the whole assembly schedule, so errors are materially worse than containable without being irreversible in the safety sense; scope caveat: frozen V1 scope is fabrication after design maturity and excludes earlier subsystem design and materials qualification, site construction, integrated commissioning and commercial-fleet production; this row is routed to fusion domain review; critical_path_role remains not_assessed.</x:v>
      </x:c>
      <x:c r="M68" s="3" t="str">
        <x:v>S1: 0 — progress occurs primarily through physical fabrication, joining, assembly, and inspection after design maturity; S2: 1 — Intermediate judgment: bespoke pilot-component fabrication iterations often take months to years; S3 cost: 0 — full component attempts consume high-value material, specialist labor, and scarce equipment; S3 throughput: large custom components are capacity-limited and predominantly serial even when subparts run in parallel; S4: 0 — fabrication, treatment, joining, and inspection floors dominate elapsed time; S5: 1 — Intermediate judgment: defects can be irreparable or require scrapping high-value parts, while inspection may contain them before installation; scope caveat: pilot components after design maturity, excluding earlier qualification and commercial-fleet production.</x:v>
      </x:c>
      <x:c r="N68" s="3" t="str">
        <x:v>exact_agreement</x:v>
      </x:c>
      <x:c r="O68" s="3" t="str">
        <x:v>not_in_existing_backlog</x:v>
      </x:c>
    </x:row>
    <x:row r="69" ht="220" customHeight="1">
      <x:c r="A69" s="9" t="str">
        <x:v>sp-0026</x:v>
      </x:c>
      <x:c r="B69" s="9" t="str">
        <x:v>S5</x:v>
      </x:c>
      <x:c r="C69" s="9" t="str">
        <x:v>seed-sp-0026-v1</x:v>
      </x:c>
      <x:c r="D69" s="9" t="str">
        <x:v>independent-sp-0026-v1</x:v>
      </x:c>
      <x:c r="E69" s="9" t="str"/>
      <x:c r="F69" s="9" t="str"/>
      <x:c r="G69" s="9" t="str"/>
      <x:c r="H69" s="9" t="str"/>
      <x:c r="I69" s="9" t="str"/>
      <x:c r="J69" s="9" t="str"/>
      <x:c r="K69" s="9" t="str"/>
      <x:c r="L69" s="9" t="str">
        <x:v>S1: intermediate judgment - process planning, metrology and digital work-instruction management are real contributors, which keeps this above the fully physical anchor, but progress is the physical fabrication of large first-of-a-kind components; S2: intermediate judgment - welding-procedure and process-qualification iterations return in weeks to months, but the loop that matters, completing a first-of-a-kind component and discovering its actual deviations, runs many months to years; that is slower than the weeks-to-months anchor without reaching decade scale for a single component; S3 cost: cost and throughput diverge - coupon and sub-assembly trials are affordable and modestly parallel, while each full component costs tens of millions of currency units; S3 throughput: only a handful of each component exists, and although near-identical components permit real serial learning between units, decision-relevant attempts are very few and largely serial; S4: clock time is dominated by physical floors - machining, welding, heat treatment, winding, dimensional inspection and non-destructive examination each impose durations that no amount of information can compress; S5: intermediate judgment - a non-conformance is repairable in principle, but on a first-of-a-kind component it consumes the only article, forces re-fabrication measured in months to years and can propagate to the whole assembly schedule, so errors are materially worse than containable without being irreversible in the safety sense; scope caveat: frozen V1 scope is fabrication after design maturity and excludes earlier subsystem design and materials qualification, site construction, integrated commissioning and commercial-fleet production; this row is routed to fusion domain review; critical_path_role remains not_assessed.</x:v>
      </x:c>
      <x:c r="M69" s="9" t="str">
        <x:v>S1: 0 — progress occurs primarily through physical fabrication, joining, assembly, and inspection after design maturity; S2: 1 — Intermediate judgment: bespoke pilot-component fabrication iterations often take months to years; S3 cost: 0 — full component attempts consume high-value material, specialist labor, and scarce equipment; S3 throughput: large custom components are capacity-limited and predominantly serial even when subparts run in parallel; S4: 0 — fabrication, treatment, joining, and inspection floors dominate elapsed time; S5: 1 — Intermediate judgment: defects can be irreparable or require scrapping high-value parts, while inspection may contain them before installation; scope caveat: pilot components after design maturity, excluding earlier qualification and commercial-fleet production.</x:v>
      </x:c>
      <x:c r="N69" s="9" t="str">
        <x:v>exact_agreement</x:v>
      </x:c>
      <x:c r="O69" s="9" t="str">
        <x:v>not_in_existing_backlog</x:v>
      </x:c>
    </x:row>
    <x:row r="70" ht="204" customHeight="1">
      <x:c r="A70" s="3" t="str">
        <x:v>sp-0027</x:v>
      </x:c>
      <x:c r="B70" s="3" t="str">
        <x:v>S1</x:v>
      </x:c>
      <x:c r="C70" s="3" t="str">
        <x:v>seed-sp-0027-v1</x:v>
      </x:c>
      <x:c r="D70" s="3" t="str">
        <x:v>independent-sp-0027-v1</x:v>
      </x:c>
      <x:c r="E70" s="3" t="str"/>
      <x:c r="F70" s="3" t="str"/>
      <x:c r="G70" s="3" t="str"/>
      <x:c r="H70" s="3" t="str"/>
      <x:c r="I70" s="3" t="str"/>
      <x:c r="J70" s="3" t="str"/>
      <x:c r="K70" s="3" t="str"/>
      <x:c r="L70" s="3" t="str">
        <x:v>S1: site work, assembly, installation and construction of the pilot facility is construction, which the 0 anchor names explicitly; planning, sequencing, building-information modelling and metrology are informational contributors but they are not how the stage makes progress; S2: the loop is years - whether an assembly approach works is learned over months, and the build as a whole runs for years, placing this squarely at the years-to-decades anchor; S3 cost: attempts are scarce and expensive because the attempt is the facility itself, and there is no affordable unit of repetition at stage level; S3 throughput: parallelism is absent, since one facility is built once in a fixed sequence; full-scale mock-ups permit limited rehearsal of specific operations but do not create repeatable attempts at the stage level; S4: clock time is dominated by physical floors including concrete curing, crane and lift campaigns, sequential assembly dependencies and dimensional survey between steps; S5: intermediate judgment - ordinary construction non-conformances are repairable at material cost, which keeps this above the catastrophic anchor, but sequence-dependent assembly errors inside the machine pit can become effectively irreversible once downstream components are installed, and site-safety errors carry personal-injury consequences; scope caveat: frozen V1 scope is construction of the pilot-relevant facility and excludes off-site component fabrication, earlier subsystem design, commissioning and fleet rollout; this row is routed to fusion domain review; critical_path_role remains not_assessed.</x:v>
      </x:c>
      <x:c r="M70" s="3" t="str">
        <x:v>S1: 0 — site work, assembly, installation, and facility construction are predominantly physical transformation; S2: 0 — integrated construction feedback and correction unfold over years; S3 cost: 0 — major construction attempts and changes are scarce and expensive; S3 throughput: work packages can overlap, but the integrated facility sequence and site dependencies remain strongly constrained; S4: 0 — construction and installation floors dominate elapsed time; S5: 1 — Intermediate judgment: some errors are reworkable, but concealed or structural mistakes can be severe, costly, and only partly reversible; scope caveat: a pilot-relevant tokamak facility, excluding off-site component fabrication and commercial-fleet rollout.</x:v>
      </x:c>
      <x:c r="N70" s="3" t="str">
        <x:v>exact_agreement</x:v>
      </x:c>
      <x:c r="O70" s="3" t="str">
        <x:v>not_in_existing_backlog</x:v>
      </x:c>
    </x:row>
    <x:row r="71" ht="204" customHeight="1">
      <x:c r="A71" s="9" t="str">
        <x:v>sp-0027</x:v>
      </x:c>
      <x:c r="B71" s="9" t="str">
        <x:v>S2</x:v>
      </x:c>
      <x:c r="C71" s="9" t="str">
        <x:v>seed-sp-0027-v1</x:v>
      </x:c>
      <x:c r="D71" s="9" t="str">
        <x:v>independent-sp-0027-v1</x:v>
      </x:c>
      <x:c r="E71" s="9" t="str"/>
      <x:c r="F71" s="9" t="str"/>
      <x:c r="G71" s="9" t="str"/>
      <x:c r="H71" s="9" t="str"/>
      <x:c r="I71" s="9" t="str"/>
      <x:c r="J71" s="9" t="str"/>
      <x:c r="K71" s="9" t="str"/>
      <x:c r="L71" s="9" t="str">
        <x:v>S1: site work, assembly, installation and construction of the pilot facility is construction, which the 0 anchor names explicitly; planning, sequencing, building-information modelling and metrology are informational contributors but they are not how the stage makes progress; S2: the loop is years - whether an assembly approach works is learned over months, and the build as a whole runs for years, placing this squarely at the years-to-decades anchor; S3 cost: attempts are scarce and expensive because the attempt is the facility itself, and there is no affordable unit of repetition at stage level; S3 throughput: parallelism is absent, since one facility is built once in a fixed sequence; full-scale mock-ups permit limited rehearsal of specific operations but do not create repeatable attempts at the stage level; S4: clock time is dominated by physical floors including concrete curing, crane and lift campaigns, sequential assembly dependencies and dimensional survey between steps; S5: intermediate judgment - ordinary construction non-conformances are repairable at material cost, which keeps this above the catastrophic anchor, but sequence-dependent assembly errors inside the machine pit can become effectively irreversible once downstream components are installed, and site-safety errors carry personal-injury consequences; scope caveat: frozen V1 scope is construction of the pilot-relevant facility and excludes off-site component fabrication, earlier subsystem design, commissioning and fleet rollout; this row is routed to fusion domain review; critical_path_role remains not_assessed.</x:v>
      </x:c>
      <x:c r="M71" s="9" t="str">
        <x:v>S1: 0 — site work, assembly, installation, and facility construction are predominantly physical transformation; S2: 0 — integrated construction feedback and correction unfold over years; S3 cost: 0 — major construction attempts and changes are scarce and expensive; S3 throughput: work packages can overlap, but the integrated facility sequence and site dependencies remain strongly constrained; S4: 0 — construction and installation floors dominate elapsed time; S5: 1 — Intermediate judgment: some errors are reworkable, but concealed or structural mistakes can be severe, costly, and only partly reversible; scope caveat: a pilot-relevant tokamak facility, excluding off-site component fabrication and commercial-fleet rollout.</x:v>
      </x:c>
      <x:c r="N71" s="9" t="str">
        <x:v>exact_agreement</x:v>
      </x:c>
      <x:c r="O71" s="9" t="str">
        <x:v>not_in_existing_backlog</x:v>
      </x:c>
    </x:row>
    <x:row r="72" ht="204" customHeight="1">
      <x:c r="A72" s="3" t="str">
        <x:v>sp-0027</x:v>
      </x:c>
      <x:c r="B72" s="3" t="str">
        <x:v>S3</x:v>
      </x:c>
      <x:c r="C72" s="3" t="str">
        <x:v>seed-sp-0027-v1</x:v>
      </x:c>
      <x:c r="D72" s="3" t="str">
        <x:v>independent-sp-0027-v1</x:v>
      </x:c>
      <x:c r="E72" s="3" t="str"/>
      <x:c r="F72" s="3" t="str"/>
      <x:c r="G72" s="3" t="str"/>
      <x:c r="H72" s="3" t="str"/>
      <x:c r="I72" s="3" t="str"/>
      <x:c r="J72" s="3" t="str"/>
      <x:c r="K72" s="3" t="str"/>
      <x:c r="L72" s="3" t="str">
        <x:v>S1: site work, assembly, installation and construction of the pilot facility is construction, which the 0 anchor names explicitly; planning, sequencing, building-information modelling and metrology are informational contributors but they are not how the stage makes progress; S2: the loop is years - whether an assembly approach works is learned over months, and the build as a whole runs for years, placing this squarely at the years-to-decades anchor; S3 cost: attempts are scarce and expensive because the attempt is the facility itself, and there is no affordable unit of repetition at stage level; S3 throughput: parallelism is absent, since one facility is built once in a fixed sequence; full-scale mock-ups permit limited rehearsal of specific operations but do not create repeatable attempts at the stage level; S4: clock time is dominated by physical floors including concrete curing, crane and lift campaigns, sequential assembly dependencies and dimensional survey between steps; S5: intermediate judgment - ordinary construction non-conformances are repairable at material cost, which keeps this above the catastrophic anchor, but sequence-dependent assembly errors inside the machine pit can become effectively irreversible once downstream components are installed, and site-safety errors carry personal-injury consequences; scope caveat: frozen V1 scope is construction of the pilot-relevant facility and excludes off-site component fabrication, earlier subsystem design, commissioning and fleet rollout; this row is routed to fusion domain review; critical_path_role remains not_assessed.</x:v>
      </x:c>
      <x:c r="M72" s="3" t="str">
        <x:v>S1: 0 — site work, assembly, installation, and facility construction are predominantly physical transformation; S2: 0 — integrated construction feedback and correction unfold over years; S3 cost: 0 — major construction attempts and changes are scarce and expensive; S3 throughput: work packages can overlap, but the integrated facility sequence and site dependencies remain strongly constrained; S4: 0 — construction and installation floors dominate elapsed time; S5: 1 — Intermediate judgment: some errors are reworkable, but concealed or structural mistakes can be severe, costly, and only partly reversible; scope caveat: a pilot-relevant tokamak facility, excluding off-site component fabrication and commercial-fleet rollout.</x:v>
      </x:c>
      <x:c r="N72" s="3" t="str">
        <x:v>exact_agreement</x:v>
      </x:c>
      <x:c r="O72" s="3" t="str">
        <x:v>not_in_existing_backlog</x:v>
      </x:c>
    </x:row>
    <x:row r="73" ht="204" customHeight="1">
      <x:c r="A73" s="9" t="str">
        <x:v>sp-0027</x:v>
      </x:c>
      <x:c r="B73" s="9" t="str">
        <x:v>S4</x:v>
      </x:c>
      <x:c r="C73" s="9" t="str">
        <x:v>seed-sp-0027-v1</x:v>
      </x:c>
      <x:c r="D73" s="9" t="str">
        <x:v>independent-sp-0027-v1</x:v>
      </x:c>
      <x:c r="E73" s="9" t="str"/>
      <x:c r="F73" s="9" t="str"/>
      <x:c r="G73" s="9" t="str"/>
      <x:c r="H73" s="9" t="str"/>
      <x:c r="I73" s="9" t="str"/>
      <x:c r="J73" s="9" t="str"/>
      <x:c r="K73" s="9" t="str"/>
      <x:c r="L73" s="9" t="str">
        <x:v>S1: site work, assembly, installation and construction of the pilot facility is construction, which the 0 anchor names explicitly; planning, sequencing, building-information modelling and metrology are informational contributors but they are not how the stage makes progress; S2: the loop is years - whether an assembly approach works is learned over months, and the build as a whole runs for years, placing this squarely at the years-to-decades anchor; S3 cost: attempts are scarce and expensive because the attempt is the facility itself, and there is no affordable unit of repetition at stage level; S3 throughput: parallelism is absent, since one facility is built once in a fixed sequence; full-scale mock-ups permit limited rehearsal of specific operations but do not create repeatable attempts at the stage level; S4: clock time is dominated by physical floors including concrete curing, crane and lift campaigns, sequential assembly dependencies and dimensional survey between steps; S5: intermediate judgment - ordinary construction non-conformances are repairable at material cost, which keeps this above the catastrophic anchor, but sequence-dependent assembly errors inside the machine pit can become effectively irreversible once downstream components are installed, and site-safety errors carry personal-injury consequences; scope caveat: frozen V1 scope is construction of the pilot-relevant facility and excludes off-site component fabrication, earlier subsystem design, commissioning and fleet rollout; this row is routed to fusion domain review; critical_path_role remains not_assessed.</x:v>
      </x:c>
      <x:c r="M73" s="9" t="str">
        <x:v>S1: 0 — site work, assembly, installation, and facility construction are predominantly physical transformation; S2: 0 — integrated construction feedback and correction unfold over years; S3 cost: 0 — major construction attempts and changes are scarce and expensive; S3 throughput: work packages can overlap, but the integrated facility sequence and site dependencies remain strongly constrained; S4: 0 — construction and installation floors dominate elapsed time; S5: 1 — Intermediate judgment: some errors are reworkable, but concealed or structural mistakes can be severe, costly, and only partly reversible; scope caveat: a pilot-relevant tokamak facility, excluding off-site component fabrication and commercial-fleet rollout.</x:v>
      </x:c>
      <x:c r="N73" s="9" t="str">
        <x:v>exact_agreement</x:v>
      </x:c>
      <x:c r="O73" s="9" t="str">
        <x:v>not_in_existing_backlog</x:v>
      </x:c>
    </x:row>
    <x:row r="74" ht="204" customHeight="1">
      <x:c r="A74" s="3" t="str">
        <x:v>sp-0027</x:v>
      </x:c>
      <x:c r="B74" s="3" t="str">
        <x:v>S5</x:v>
      </x:c>
      <x:c r="C74" s="3" t="str">
        <x:v>seed-sp-0027-v1</x:v>
      </x:c>
      <x:c r="D74" s="3" t="str">
        <x:v>independent-sp-0027-v1</x:v>
      </x:c>
      <x:c r="E74" s="3" t="str"/>
      <x:c r="F74" s="3" t="str"/>
      <x:c r="G74" s="3" t="str"/>
      <x:c r="H74" s="3" t="str"/>
      <x:c r="I74" s="3" t="str"/>
      <x:c r="J74" s="3" t="str"/>
      <x:c r="K74" s="3" t="str"/>
      <x:c r="L74" s="3" t="str">
        <x:v>S1: site work, assembly, installation and construction of the pilot facility is construction, which the 0 anchor names explicitly; planning, sequencing, building-information modelling and metrology are informational contributors but they are not how the stage makes progress; S2: the loop is years - whether an assembly approach works is learned over months, and the build as a whole runs for years, placing this squarely at the years-to-decades anchor; S3 cost: attempts are scarce and expensive because the attempt is the facility itself, and there is no affordable unit of repetition at stage level; S3 throughput: parallelism is absent, since one facility is built once in a fixed sequence; full-scale mock-ups permit limited rehearsal of specific operations but do not create repeatable attempts at the stage level; S4: clock time is dominated by physical floors including concrete curing, crane and lift campaigns, sequential assembly dependencies and dimensional survey between steps; S5: intermediate judgment - ordinary construction non-conformances are repairable at material cost, which keeps this above the catastrophic anchor, but sequence-dependent assembly errors inside the machine pit can become effectively irreversible once downstream components are installed, and site-safety errors carry personal-injury consequences; scope caveat: frozen V1 scope is construction of the pilot-relevant facility and excludes off-site component fabrication, earlier subsystem design, commissioning and fleet rollout; this row is routed to fusion domain review; critical_path_role remains not_assessed.</x:v>
      </x:c>
      <x:c r="M74" s="3" t="str">
        <x:v>S1: 0 — site work, assembly, installation, and facility construction are predominantly physical transformation; S2: 0 — integrated construction feedback and correction unfold over years; S3 cost: 0 — major construction attempts and changes are scarce and expensive; S3 throughput: work packages can overlap, but the integrated facility sequence and site dependencies remain strongly constrained; S4: 0 — construction and installation floors dominate elapsed time; S5: 1 — Intermediate judgment: some errors are reworkable, but concealed or structural mistakes can be severe, costly, and only partly reversible; scope caveat: a pilot-relevant tokamak facility, excluding off-site component fabrication and commercial-fleet rollout.</x:v>
      </x:c>
      <x:c r="N74" s="3" t="str">
        <x:v>exact_agreement</x:v>
      </x:c>
      <x:c r="O74" s="3" t="str">
        <x:v>not_in_existing_backlog</x:v>
      </x:c>
    </x:row>
    <x:row r="75" ht="220" customHeight="1">
      <x:c r="A75" s="9" t="str">
        <x:v>sp-0028</x:v>
      </x:c>
      <x:c r="B75" s="9" t="str">
        <x:v>S1</x:v>
      </x:c>
      <x:c r="C75" s="9" t="str">
        <x:v>seed-sp-0028-v1</x:v>
      </x:c>
      <x:c r="D75" s="9" t="str">
        <x:v>independent-sp-0028-v1</x:v>
      </x:c>
      <x:c r="E75" s="9" t="str"/>
      <x:c r="F75" s="9" t="str"/>
      <x:c r="G75" s="9" t="str"/>
      <x:c r="H75" s="9" t="str"/>
      <x:c r="I75" s="9" t="str"/>
      <x:c r="J75" s="9" t="str"/>
      <x:c r="K75" s="9" t="str"/>
      <x:c r="L75" s="9" t="str">
        <x:v>S1: intermediate judgment - commissioning generates and consumes large volumes of data and much of the fault diagnosis is analytical, which keeps this above the fully physical anchor, but progress is established by physically energising and operating installed systems in sequence; S2: intermediate judgment - individual interface checks resolve in days, but the integrated loop of energise, find a fault, gain access, repair and re-test runs weeks to months per iteration because access to installed hardware is restricted; that is slower than the weeks-to-months anchor for the loop that governs progress; S3 cost: cost and throughput diverge - sub-system checks are repeatable at modest marginal cost and a few proceed in parallel across independent systems; S3 throughput: every integrated attempt uses the single facility serially and consumes facility operating cost and staff, so decision-relevant throughput is bounded by one machine and is very low; S4: clock time is dominated by physical floors - vacuum pumpdown, bakeout, cryogenic cooldown and warmup, and access restrictions each impose fixed multi-week durations on every fault-and-repair cycle; S5: intermediate judgment - most commissioning faults are diagnosed and repaired at the cost of schedule, but errors during first energisation of magnets or first vacuum and cryogenic operation can damage installed hardware that is extremely difficult to replace in situ; scope caveat: frozen V1 scope is bringing the assembled facility into test operation and establishing integrated readiness; it excludes construction and the subsequent reliability-demonstration campaign; this row is routed to fusion domain review; critical_path_role remains not_assessed.</x:v>
      </x:c>
      <x:c r="M75" s="9" t="str">
        <x:v>S1: 1 — Intermediate judgment: procedures, diagnostics, and interface reasoning are informational, but integrated physical startup and system proving dominate progress; S2: 1 — Intermediate judgment: commissioning cycles commonly span months to years between system access, fixes, and retests; S3 cost: 0 — integrated startup attempts use a unique facility, specialist teams, energy, and high-value hardware; S3 throughput: interface dependencies and facility states make decisive attempts scarce and largely serial; S4: 0 — hardware access, conditioning, cooldown, repair, and restart floors dominate elapsed time; S5: 0 — commissioning errors can damage unique equipment or create serious safety consequences; scope caveat: initial integrated readiness only, excluding construction and the later reliability campaign.</x:v>
      </x:c>
      <x:c r="N75" s="9" t="str">
        <x:v>exact_agreement</x:v>
      </x:c>
      <x:c r="O75" s="9" t="str">
        <x:v>not_in_existing_backlog</x:v>
      </x:c>
    </x:row>
    <x:row r="76" ht="220" customHeight="1">
      <x:c r="A76" s="3" t="str">
        <x:v>sp-0028</x:v>
      </x:c>
      <x:c r="B76" s="3" t="str">
        <x:v>S2</x:v>
      </x:c>
      <x:c r="C76" s="3" t="str">
        <x:v>seed-sp-0028-v1</x:v>
      </x:c>
      <x:c r="D76" s="3" t="str">
        <x:v>independent-sp-0028-v1</x:v>
      </x:c>
      <x:c r="E76" s="3" t="str"/>
      <x:c r="F76" s="3" t="str"/>
      <x:c r="G76" s="3" t="str"/>
      <x:c r="H76" s="3" t="str"/>
      <x:c r="I76" s="3" t="str"/>
      <x:c r="J76" s="3" t="str"/>
      <x:c r="K76" s="3" t="str"/>
      <x:c r="L76" s="3" t="str">
        <x:v>S1: intermediate judgment - commissioning generates and consumes large volumes of data and much of the fault diagnosis is analytical, which keeps this above the fully physical anchor, but progress is established by physically energising and operating installed systems in sequence; S2: intermediate judgment - individual interface checks resolve in days, but the integrated loop of energise, find a fault, gain access, repair and re-test runs weeks to months per iteration because access to installed hardware is restricted; that is slower than the weeks-to-months anchor for the loop that governs progress; S3 cost: cost and throughput diverge - sub-system checks are repeatable at modest marginal cost and a few proceed in parallel across independent systems; S3 throughput: every integrated attempt uses the single facility serially and consumes facility operating cost and staff, so decision-relevant throughput is bounded by one machine and is very low; S4: clock time is dominated by physical floors - vacuum pumpdown, bakeout, cryogenic cooldown and warmup, and access restrictions each impose fixed multi-week durations on every fault-and-repair cycle; S5: intermediate judgment - most commissioning faults are diagnosed and repaired at the cost of schedule, but errors during first energisation of magnets or first vacuum and cryogenic operation can damage installed hardware that is extremely difficult to replace in situ; scope caveat: frozen V1 scope is bringing the assembled facility into test operation and establishing integrated readiness; it excludes construction and the subsequent reliability-demonstration campaign; this row is routed to fusion domain review; critical_path_role remains not_assessed.</x:v>
      </x:c>
      <x:c r="M76" s="3" t="str">
        <x:v>S1: 1 — Intermediate judgment: procedures, diagnostics, and interface reasoning are informational, but integrated physical startup and system proving dominate progress; S2: 1 — Intermediate judgment: commissioning cycles commonly span months to years between system access, fixes, and retests; S3 cost: 0 — integrated startup attempts use a unique facility, specialist teams, energy, and high-value hardware; S3 throughput: interface dependencies and facility states make decisive attempts scarce and largely serial; S4: 0 — hardware access, conditioning, cooldown, repair, and restart floors dominate elapsed time; S5: 0 — commissioning errors can damage unique equipment or create serious safety consequences; scope caveat: initial integrated readiness only, excluding construction and the later reliability campaign.</x:v>
      </x:c>
      <x:c r="N76" s="3" t="str">
        <x:v>exact_agreement</x:v>
      </x:c>
      <x:c r="O76" s="3" t="str">
        <x:v>not_in_existing_backlog</x:v>
      </x:c>
    </x:row>
    <x:row r="77" ht="220" customHeight="1">
      <x:c r="A77" s="9" t="str">
        <x:v>sp-0028</x:v>
      </x:c>
      <x:c r="B77" s="9" t="str">
        <x:v>S3</x:v>
      </x:c>
      <x:c r="C77" s="9" t="str">
        <x:v>seed-sp-0028-v1</x:v>
      </x:c>
      <x:c r="D77" s="9" t="str">
        <x:v>independent-sp-0028-v1</x:v>
      </x:c>
      <x:c r="E77" s="9" t="str"/>
      <x:c r="F77" s="9" t="str"/>
      <x:c r="G77" s="9" t="str">
        <x:v>exc-sp-0028-s3</x:v>
      </x:c>
      <x:c r="H77" s="9" t="str">
        <x:v>prefer_independent</x:v>
      </x:c>
      <x:c r="I77" s="9" t="str">
        <x:v>Select S3=0. The decisive attempts are integrated startup and system-proving operations on one unique facility. Subsystem checks can be repeated, but facility states, access, specialist teams and interface dependencies make stage-level attempts scarce, expensive and predominantly serial.</x:v>
      </x:c>
      <x:c r="J77" s="9" t="str"/>
      <x:c r="K77" s="9" t="str">
        <x:v>owner_preference_recorded</x:v>
      </x:c>
      <x:c r="L77" s="9" t="str">
        <x:v>S1: intermediate judgment - commissioning generates and consumes large volumes of data and much of the fault diagnosis is analytical, which keeps this above the fully physical anchor, but progress is established by physically energising and operating installed systems in sequence; S2: intermediate judgment - individual interface checks resolve in days, but the integrated loop of energise, find a fault, gain access, repair and re-test runs weeks to months per iteration because access to installed hardware is restricted; that is slower than the weeks-to-months anchor for the loop that governs progress; S3 cost: cost and throughput diverge - sub-system checks are repeatable at modest marginal cost and a few proceed in parallel across independent systems; S3 throughput: every integrated attempt uses the single facility serially and consumes facility operating cost and staff, so decision-relevant throughput is bounded by one machine and is very low; S4: clock time is dominated by physical floors - vacuum pumpdown, bakeout, cryogenic cooldown and warmup, and access restrictions each impose fixed multi-week durations on every fault-and-repair cycle; S5: intermediate judgment - most commissioning faults are diagnosed and repaired at the cost of schedule, but errors during first energisation of magnets or first vacuum and cryogenic operation can damage installed hardware that is extremely difficult to replace in situ; scope caveat: frozen V1 scope is bringing the assembled facility into test operation and establishing integrated readiness; it excludes construction and the subsequent reliability-demonstration campaign; this row is routed to fusion domain review; critical_path_role remains not_assessed.</x:v>
      </x:c>
      <x:c r="M77" s="9" t="str">
        <x:v>S1: 1 — Intermediate judgment: procedures, diagnostics, and interface reasoning are informational, but integrated physical startup and system proving dominate progress; S2: 1 — Intermediate judgment: commissioning cycles commonly span months to years between system access, fixes, and retests; S3 cost: 0 — integrated startup attempts use a unique facility, specialist teams, energy, and high-value hardware; S3 throughput: interface dependencies and facility states make decisive attempts scarce and largely serial; S4: 0 — hardware access, conditioning, cooldown, repair, and restart floors dominate elapsed time; S5: 0 — commissioning errors can damage unique equipment or create serious safety consequences; scope caveat: initial integrated readiness only, excluding construction and the later reliability campaign.</x:v>
      </x:c>
      <x:c r="N77" s="9" t="str">
        <x:v>one_point_difference</x:v>
      </x:c>
      <x:c r="O77" s="9" t="str">
        <x:v>not_in_existing_backlog</x:v>
      </x:c>
    </x:row>
    <x:row r="78" ht="220" customHeight="1">
      <x:c r="A78" s="3" t="str">
        <x:v>sp-0028</x:v>
      </x:c>
      <x:c r="B78" s="3" t="str">
        <x:v>S4</x:v>
      </x:c>
      <x:c r="C78" s="3" t="str">
        <x:v>seed-sp-0028-v1</x:v>
      </x:c>
      <x:c r="D78" s="3" t="str">
        <x:v>independent-sp-0028-v1</x:v>
      </x:c>
      <x:c r="E78" s="3" t="str"/>
      <x:c r="F78" s="3" t="str"/>
      <x:c r="G78" s="3" t="str"/>
      <x:c r="H78" s="3" t="str"/>
      <x:c r="I78" s="3" t="str"/>
      <x:c r="J78" s="3" t="str"/>
      <x:c r="K78" s="3" t="str"/>
      <x:c r="L78" s="3" t="str">
        <x:v>S1: intermediate judgment - commissioning generates and consumes large volumes of data and much of the fault diagnosis is analytical, which keeps this above the fully physical anchor, but progress is established by physically energising and operating installed systems in sequence; S2: intermediate judgment - individual interface checks resolve in days, but the integrated loop of energise, find a fault, gain access, repair and re-test runs weeks to months per iteration because access to installed hardware is restricted; that is slower than the weeks-to-months anchor for the loop that governs progress; S3 cost: cost and throughput diverge - sub-system checks are repeatable at modest marginal cost and a few proceed in parallel across independent systems; S3 throughput: every integrated attempt uses the single facility serially and consumes facility operating cost and staff, so decision-relevant throughput is bounded by one machine and is very low; S4: clock time is dominated by physical floors - vacuum pumpdown, bakeout, cryogenic cooldown and warmup, and access restrictions each impose fixed multi-week durations on every fault-and-repair cycle; S5: intermediate judgment - most commissioning faults are diagnosed and repaired at the cost of schedule, but errors during first energisation of magnets or first vacuum and cryogenic operation can damage installed hardware that is extremely difficult to replace in situ; scope caveat: frozen V1 scope is bringing the assembled facility into test operation and establishing integrated readiness; it excludes construction and the subsequent reliability-demonstration campaign; this row is routed to fusion domain review; critical_path_role remains not_assessed.</x:v>
      </x:c>
      <x:c r="M78" s="3" t="str">
        <x:v>S1: 1 — Intermediate judgment: procedures, diagnostics, and interface reasoning are informational, but integrated physical startup and system proving dominate progress; S2: 1 — Intermediate judgment: commissioning cycles commonly span months to years between system access, fixes, and retests; S3 cost: 0 — integrated startup attempts use a unique facility, specialist teams, energy, and high-value hardware; S3 throughput: interface dependencies and facility states make decisive attempts scarce and largely serial; S4: 0 — hardware access, conditioning, cooldown, repair, and restart floors dominate elapsed time; S5: 0 — commissioning errors can damage unique equipment or create serious safety consequences; scope caveat: initial integrated readiness only, excluding construction and the later reliability campaign.</x:v>
      </x:c>
      <x:c r="N78" s="3" t="str">
        <x:v>exact_agreement</x:v>
      </x:c>
      <x:c r="O78" s="3" t="str">
        <x:v>not_in_existing_backlog</x:v>
      </x:c>
    </x:row>
    <x:row r="79" ht="220" customHeight="1">
      <x:c r="A79" s="9" t="str">
        <x:v>sp-0028</x:v>
      </x:c>
      <x:c r="B79" s="9" t="str">
        <x:v>S5</x:v>
      </x:c>
      <x:c r="C79" s="9" t="str">
        <x:v>seed-sp-0028-v1</x:v>
      </x:c>
      <x:c r="D79" s="9" t="str">
        <x:v>independent-sp-0028-v1</x:v>
      </x:c>
      <x:c r="E79" s="9" t="str"/>
      <x:c r="F79" s="9" t="str"/>
      <x:c r="G79" s="9" t="str">
        <x:v>exc-sp-0028-s5</x:v>
      </x:c>
      <x:c r="H79" s="9" t="str">
        <x:v>prefer_seed</x:v>
      </x:c>
      <x:c r="I79" s="9" t="str">
        <x:v>Select S5=1. Commissioning mistakes can damage unique installed hardware and create serious hazards, yet commissioning is deliberately staged, interlocked and reversible where practicable. The stage is low-tolerance, but S5=0 treats the severe tail as the ordinary error consequence.</x:v>
      </x:c>
      <x:c r="J79" s="9" t="str"/>
      <x:c r="K79" s="9" t="str">
        <x:v>owner_preference_recorded</x:v>
      </x:c>
      <x:c r="L79" s="9" t="str">
        <x:v>S1: intermediate judgment - commissioning generates and consumes large volumes of data and much of the fault diagnosis is analytical, which keeps this above the fully physical anchor, but progress is established by physically energising and operating installed systems in sequence; S2: intermediate judgment - individual interface checks resolve in days, but the integrated loop of energise, find a fault, gain access, repair and re-test runs weeks to months per iteration because access to installed hardware is restricted; that is slower than the weeks-to-months anchor for the loop that governs progress; S3 cost: cost and throughput diverge - sub-system checks are repeatable at modest marginal cost and a few proceed in parallel across independent systems; S3 throughput: every integrated attempt uses the single facility serially and consumes facility operating cost and staff, so decision-relevant throughput is bounded by one machine and is very low; S4: clock time is dominated by physical floors - vacuum pumpdown, bakeout, cryogenic cooldown and warmup, and access restrictions each impose fixed multi-week durations on every fault-and-repair cycle; S5: intermediate judgment - most commissioning faults are diagnosed and repaired at the cost of schedule, but errors during first energisation of magnets or first vacuum and cryogenic operation can damage installed hardware that is extremely difficult to replace in situ; scope caveat: frozen V1 scope is bringing the assembled facility into test operation and establishing integrated readiness; it excludes construction and the subsequent reliability-demonstration campaign; this row is routed to fusion domain review; critical_path_role remains not_assessed.</x:v>
      </x:c>
      <x:c r="M79" s="9" t="str">
        <x:v>S1: 1 — Intermediate judgment: procedures, diagnostics, and interface reasoning are informational, but integrated physical startup and system proving dominate progress; S2: 1 — Intermediate judgment: commissioning cycles commonly span months to years between system access, fixes, and retests; S3 cost: 0 — integrated startup attempts use a unique facility, specialist teams, energy, and high-value hardware; S3 throughput: interface dependencies and facility states make decisive attempts scarce and largely serial; S4: 0 — hardware access, conditioning, cooldown, repair, and restart floors dominate elapsed time; S5: 0 — commissioning errors can damage unique equipment or create serious safety consequences; scope caveat: initial integrated readiness only, excluding construction and the later reliability campaign.</x:v>
      </x:c>
      <x:c r="N79" s="9" t="str">
        <x:v>one_point_difference</x:v>
      </x:c>
      <x:c r="O79" s="9" t="str">
        <x:v>owner_disposition_recorded_pending_targeted_s5_adjudication</x:v>
      </x:c>
    </x:row>
    <x:row r="80" ht="220" customHeight="1">
      <x:c r="A80" s="3" t="str">
        <x:v>sp-0029</x:v>
      </x:c>
      <x:c r="B80" s="3" t="str">
        <x:v>S1</x:v>
      </x:c>
      <x:c r="C80" s="3" t="str">
        <x:v>seed-sp-0029-v1</x:v>
      </x:c>
      <x:c r="D80" s="3" t="str">
        <x:v>independent-sp-0029-v1</x:v>
      </x:c>
      <x:c r="E80" s="3" t="str"/>
      <x:c r="F80" s="3" t="str"/>
      <x:c r="G80" s="3" t="str"/>
      <x:c r="H80" s="3" t="str"/>
      <x:c r="I80" s="3" t="str"/>
      <x:c r="J80" s="3" t="str"/>
      <x:c r="K80" s="3" t="str"/>
      <x:c r="L80" s="3" t="str">
        <x:v>S1: reliability and operating performance are demonstrated by accumulating operating hours and pulses, which the 0 anchor names explicitly as accumulated operating time; analysis of the resulting data is essential but cannot substitute for the operating time itself; S2: establishing statistical confidence in availability and sustained performance takes years of campaign operation, placing the loop at the years-to-decades anchor; S3 cost: attempts are scarce and expensive because each attempt is an operating campaign on a single pilot facility, carrying full facility operating cost, staffing and consumables; S3 throughput: throughput is one machine operated serially, with no parallelism available and campaign length set by the reliability target itself; S4: clock time is dominated by a physical and temporal floor that is definitional - required operating time cannot be compressed by better information, and inter-campaign maintenance and conditioning add further fixed durations; S5: intermediate judgment - individual failed pulses are expected and informative, which keeps this above the catastrophic anchor, but a component failure during sustained operation can remove the only machine from service for a long repair and reset the demonstration clock; scope caveat: frozen V1 scope is sustained or repeated integrated testing for pilot-relevant reliability and excludes initial commissioning and commercial-fleet operations; the reliability target itself is not frozen in the V1 scope, and the coding is sensitive to what availability level counts as demonstrated, so this row is scope-sensitive; this row is routed to fusion domain review; critical_path_role remains not_assessed.</x:v>
      </x:c>
      <x:c r="M80" s="3" t="str">
        <x:v>S1: 0 — progress is established primarily through sustained physical operation and accumulated reliability evidence; S2: 0 — the relevant learn-demonstrate-revise cycle is measured in years; S3 cost: 0 — integrated reliability runs consume scarce facility time, energy, components, and specialist support; S3 throughput: the assembled plant is a unique or very limited system, so attempts are predominantly serial; S4: 0 — required operating time and repair-return cycles dominate elapsed time; S5: 0 — errors or failures can damage unique assets, erase schedule, or create severe safety consequences; scope caveat: pilot-relevant reliability demonstration, not routine commercial-fleet operations.</x:v>
      </x:c>
      <x:c r="N80" s="3" t="str">
        <x:v>exact_agreement</x:v>
      </x:c>
      <x:c r="O80" s="3" t="str">
        <x:v>not_in_existing_backlog</x:v>
      </x:c>
    </x:row>
    <x:row r="81" ht="220" customHeight="1">
      <x:c r="A81" s="9" t="str">
        <x:v>sp-0029</x:v>
      </x:c>
      <x:c r="B81" s="9" t="str">
        <x:v>S2</x:v>
      </x:c>
      <x:c r="C81" s="9" t="str">
        <x:v>seed-sp-0029-v1</x:v>
      </x:c>
      <x:c r="D81" s="9" t="str">
        <x:v>independent-sp-0029-v1</x:v>
      </x:c>
      <x:c r="E81" s="9" t="str"/>
      <x:c r="F81" s="9" t="str"/>
      <x:c r="G81" s="9" t="str"/>
      <x:c r="H81" s="9" t="str"/>
      <x:c r="I81" s="9" t="str"/>
      <x:c r="J81" s="9" t="str"/>
      <x:c r="K81" s="9" t="str"/>
      <x:c r="L81" s="9" t="str">
        <x:v>S1: reliability and operating performance are demonstrated by accumulating operating hours and pulses, which the 0 anchor names explicitly as accumulated operating time; analysis of the resulting data is essential but cannot substitute for the operating time itself; S2: establishing statistical confidence in availability and sustained performance takes years of campaign operation, placing the loop at the years-to-decades anchor; S3 cost: attempts are scarce and expensive because each attempt is an operating campaign on a single pilot facility, carrying full facility operating cost, staffing and consumables; S3 throughput: throughput is one machine operated serially, with no parallelism available and campaign length set by the reliability target itself; S4: clock time is dominated by a physical and temporal floor that is definitional - required operating time cannot be compressed by better information, and inter-campaign maintenance and conditioning add further fixed durations; S5: intermediate judgment - individual failed pulses are expected and informative, which keeps this above the catastrophic anchor, but a component failure during sustained operation can remove the only machine from service for a long repair and reset the demonstration clock; scope caveat: frozen V1 scope is sustained or repeated integrated testing for pilot-relevant reliability and excludes initial commissioning and commercial-fleet operations; the reliability target itself is not frozen in the V1 scope, and the coding is sensitive to what availability level counts as demonstrated, so this row is scope-sensitive; this row is routed to fusion domain review; critical_path_role remains not_assessed.</x:v>
      </x:c>
      <x:c r="M81" s="9" t="str">
        <x:v>S1: 0 — progress is established primarily through sustained physical operation and accumulated reliability evidence; S2: 0 — the relevant learn-demonstrate-revise cycle is measured in years; S3 cost: 0 — integrated reliability runs consume scarce facility time, energy, components, and specialist support; S3 throughput: the assembled plant is a unique or very limited system, so attempts are predominantly serial; S4: 0 — required operating time and repair-return cycles dominate elapsed time; S5: 0 — errors or failures can damage unique assets, erase schedule, or create severe safety consequences; scope caveat: pilot-relevant reliability demonstration, not routine commercial-fleet operations.</x:v>
      </x:c>
      <x:c r="N81" s="9" t="str">
        <x:v>exact_agreement</x:v>
      </x:c>
      <x:c r="O81" s="9" t="str">
        <x:v>not_in_existing_backlog</x:v>
      </x:c>
    </x:row>
    <x:row r="82" ht="220" customHeight="1">
      <x:c r="A82" s="3" t="str">
        <x:v>sp-0029</x:v>
      </x:c>
      <x:c r="B82" s="3" t="str">
        <x:v>S3</x:v>
      </x:c>
      <x:c r="C82" s="3" t="str">
        <x:v>seed-sp-0029-v1</x:v>
      </x:c>
      <x:c r="D82" s="3" t="str">
        <x:v>independent-sp-0029-v1</x:v>
      </x:c>
      <x:c r="E82" s="3" t="str"/>
      <x:c r="F82" s="3" t="str"/>
      <x:c r="G82" s="3" t="str"/>
      <x:c r="H82" s="3" t="str"/>
      <x:c r="I82" s="3" t="str"/>
      <x:c r="J82" s="3" t="str"/>
      <x:c r="K82" s="3" t="str"/>
      <x:c r="L82" s="3" t="str">
        <x:v>S1: reliability and operating performance are demonstrated by accumulating operating hours and pulses, which the 0 anchor names explicitly as accumulated operating time; analysis of the resulting data is essential but cannot substitute for the operating time itself; S2: establishing statistical confidence in availability and sustained performance takes years of campaign operation, placing the loop at the years-to-decades anchor; S3 cost: attempts are scarce and expensive because each attempt is an operating campaign on a single pilot facility, carrying full facility operating cost, staffing and consumables; S3 throughput: throughput is one machine operated serially, with no parallelism available and campaign length set by the reliability target itself; S4: clock time is dominated by a physical and temporal floor that is definitional - required operating time cannot be compressed by better information, and inter-campaign maintenance and conditioning add further fixed durations; S5: intermediate judgment - individual failed pulses are expected and informative, which keeps this above the catastrophic anchor, but a component failure during sustained operation can remove the only machine from service for a long repair and reset the demonstration clock; scope caveat: frozen V1 scope is sustained or repeated integrated testing for pilot-relevant reliability and excludes initial commissioning and commercial-fleet operations; the reliability target itself is not frozen in the V1 scope, and the coding is sensitive to what availability level counts as demonstrated, so this row is scope-sensitive; this row is routed to fusion domain review; critical_path_role remains not_assessed.</x:v>
      </x:c>
      <x:c r="M82" s="3" t="str">
        <x:v>S1: 0 — progress is established primarily through sustained physical operation and accumulated reliability evidence; S2: 0 — the relevant learn-demonstrate-revise cycle is measured in years; S3 cost: 0 — integrated reliability runs consume scarce facility time, energy, components, and specialist support; S3 throughput: the assembled plant is a unique or very limited system, so attempts are predominantly serial; S4: 0 — required operating time and repair-return cycles dominate elapsed time; S5: 0 — errors or failures can damage unique assets, erase schedule, or create severe safety consequences; scope caveat: pilot-relevant reliability demonstration, not routine commercial-fleet operations.</x:v>
      </x:c>
      <x:c r="N82" s="3" t="str">
        <x:v>exact_agreement</x:v>
      </x:c>
      <x:c r="O82" s="3" t="str">
        <x:v>not_in_existing_backlog</x:v>
      </x:c>
    </x:row>
    <x:row r="83" ht="220" customHeight="1">
      <x:c r="A83" s="9" t="str">
        <x:v>sp-0029</x:v>
      </x:c>
      <x:c r="B83" s="9" t="str">
        <x:v>S4</x:v>
      </x:c>
      <x:c r="C83" s="9" t="str">
        <x:v>seed-sp-0029-v1</x:v>
      </x:c>
      <x:c r="D83" s="9" t="str">
        <x:v>independent-sp-0029-v1</x:v>
      </x:c>
      <x:c r="E83" s="9" t="str"/>
      <x:c r="F83" s="9" t="str"/>
      <x:c r="G83" s="9" t="str"/>
      <x:c r="H83" s="9" t="str"/>
      <x:c r="I83" s="9" t="str"/>
      <x:c r="J83" s="9" t="str"/>
      <x:c r="K83" s="9" t="str"/>
      <x:c r="L83" s="9" t="str">
        <x:v>S1: reliability and operating performance are demonstrated by accumulating operating hours and pulses, which the 0 anchor names explicitly as accumulated operating time; analysis of the resulting data is essential but cannot substitute for the operating time itself; S2: establishing statistical confidence in availability and sustained performance takes years of campaign operation, placing the loop at the years-to-decades anchor; S3 cost: attempts are scarce and expensive because each attempt is an operating campaign on a single pilot facility, carrying full facility operating cost, staffing and consumables; S3 throughput: throughput is one machine operated serially, with no parallelism available and campaign length set by the reliability target itself; S4: clock time is dominated by a physical and temporal floor that is definitional - required operating time cannot be compressed by better information, and inter-campaign maintenance and conditioning add further fixed durations; S5: intermediate judgment - individual failed pulses are expected and informative, which keeps this above the catastrophic anchor, but a component failure during sustained operation can remove the only machine from service for a long repair and reset the demonstration clock; scope caveat: frozen V1 scope is sustained or repeated integrated testing for pilot-relevant reliability and excludes initial commissioning and commercial-fleet operations; the reliability target itself is not frozen in the V1 scope, and the coding is sensitive to what availability level counts as demonstrated, so this row is scope-sensitive; this row is routed to fusion domain review; critical_path_role remains not_assessed.</x:v>
      </x:c>
      <x:c r="M83" s="9" t="str">
        <x:v>S1: 0 — progress is established primarily through sustained physical operation and accumulated reliability evidence; S2: 0 — the relevant learn-demonstrate-revise cycle is measured in years; S3 cost: 0 — integrated reliability runs consume scarce facility time, energy, components, and specialist support; S3 throughput: the assembled plant is a unique or very limited system, so attempts are predominantly serial; S4: 0 — required operating time and repair-return cycles dominate elapsed time; S5: 0 — errors or failures can damage unique assets, erase schedule, or create severe safety consequences; scope caveat: pilot-relevant reliability demonstration, not routine commercial-fleet operations.</x:v>
      </x:c>
      <x:c r="N83" s="9" t="str">
        <x:v>exact_agreement</x:v>
      </x:c>
      <x:c r="O83" s="9" t="str">
        <x:v>not_in_existing_backlog</x:v>
      </x:c>
    </x:row>
    <x:row r="84" ht="220" customHeight="1">
      <x:c r="A84" s="3" t="str">
        <x:v>sp-0029</x:v>
      </x:c>
      <x:c r="B84" s="3" t="str">
        <x:v>S5</x:v>
      </x:c>
      <x:c r="C84" s="3" t="str">
        <x:v>seed-sp-0029-v1</x:v>
      </x:c>
      <x:c r="D84" s="3" t="str">
        <x:v>independent-sp-0029-v1</x:v>
      </x:c>
      <x:c r="E84" s="3" t="str"/>
      <x:c r="F84" s="3" t="str"/>
      <x:c r="G84" s="3" t="str">
        <x:v>exc-sp-0029-s5</x:v>
      </x:c>
      <x:c r="H84" s="3" t="str">
        <x:v>prefer_seed</x:v>
      </x:c>
      <x:c r="I84" s="3" t="str">
        <x:v>Select S5=1. Component failures are the phenomenon reliability demonstration is designed to reveal and should not automatically be treated as errors by the stage. Errors in test conduct or inference can still waste irreplaceable operating time, so the stage remains low-tolerance rather than catastrophic by definition.</x:v>
      </x:c>
      <x:c r="J84" s="3" t="str"/>
      <x:c r="K84" s="3" t="str">
        <x:v>owner_preference_recorded</x:v>
      </x:c>
      <x:c r="L84" s="3" t="str">
        <x:v>S1: reliability and operating performance are demonstrated by accumulating operating hours and pulses, which the 0 anchor names explicitly as accumulated operating time; analysis of the resulting data is essential but cannot substitute for the operating time itself; S2: establishing statistical confidence in availability and sustained performance takes years of campaign operation, placing the loop at the years-to-decades anchor; S3 cost: attempts are scarce and expensive because each attempt is an operating campaign on a single pilot facility, carrying full facility operating cost, staffing and consumables; S3 throughput: throughput is one machine operated serially, with no parallelism available and campaign length set by the reliability target itself; S4: clock time is dominated by a physical and temporal floor that is definitional - required operating time cannot be compressed by better information, and inter-campaign maintenance and conditioning add further fixed durations; S5: intermediate judgment - individual failed pulses are expected and informative, which keeps this above the catastrophic anchor, but a component failure during sustained operation can remove the only machine from service for a long repair and reset the demonstration clock; scope caveat: frozen V1 scope is sustained or repeated integrated testing for pilot-relevant reliability and excludes initial commissioning and commercial-fleet operations; the reliability target itself is not frozen in the V1 scope, and the coding is sensitive to what availability level counts as demonstrated, so this row is scope-sensitive; this row is routed to fusion domain review; critical_path_role remains not_assessed.</x:v>
      </x:c>
      <x:c r="M84" s="3" t="str">
        <x:v>S1: 0 — progress is established primarily through sustained physical operation and accumulated reliability evidence; S2: 0 — the relevant learn-demonstrate-revise cycle is measured in years; S3 cost: 0 — integrated reliability runs consume scarce facility time, energy, components, and specialist support; S3 throughput: the assembled plant is a unique or very limited system, so attempts are predominantly serial; S4: 0 — required operating time and repair-return cycles dominate elapsed time; S5: 0 — errors or failures can damage unique assets, erase schedule, or create severe safety consequences; scope caveat: pilot-relevant reliability demonstration, not routine commercial-fleet operations.</x:v>
      </x:c>
      <x:c r="N84" s="3" t="str">
        <x:v>one_point_difference</x:v>
      </x:c>
      <x:c r="O84" s="3" t="str">
        <x:v>owner_disposition_recorded_pending_targeted_s5_adjudication</x:v>
      </x:c>
    </x:row>
    <x:row r="85" ht="284" customHeight="1">
      <x:c r="A85" s="9" t="str">
        <x:v>sp-0030</x:v>
      </x:c>
      <x:c r="B85" s="9" t="str">
        <x:v>S1</x:v>
      </x:c>
      <x:c r="C85" s="9" t="str">
        <x:v>seed-sp-0030-v1</x:v>
      </x:c>
      <x:c r="D85" s="9" t="str">
        <x:v>independent-sp-0030-v1</x:v>
      </x:c>
      <x:c r="E85" s="9" t="str"/>
      <x:c r="F85" s="9" t="str"/>
      <x:c r="G85" s="9" t="str">
        <x:v>exc-sp-0030-s1</x:v>
      </x:c>
      <x:c r="H85" s="9" t="str">
        <x:v>prefer_independent</x:v>
      </x:c>
      <x:c r="I85" s="9" t="str">
        <x:v>Select S1=4. Licensing work is fundamentally evidence review, safety analysis, communication and formal decision-making. Inspections and as-built evidence are important inputs, but importing their physical production into this stage would blur licensing with construction, commissioning and qualification.</x:v>
      </x:c>
      <x:c r="J85" s="9" t="str"/>
      <x:c r="K85" s="9" t="str">
        <x:v>owner_preference_recorded</x:v>
      </x:c>
      <x:c r="L85" s="9" t="str">
        <x:v>S1: intermediate judgment - the work product is safety analysis, documentation and regulatory argument, which is information work, but a material part of progress consists of physical demonstrations, inspections and as-built verification that documentation alone cannot supply; S2: intermediate judgment - internal iteration on a safety case runs in weeks, but the binding loop is submit, await review, and respond to requests for additional information, which runs many months to years per cycle; that is slower than the weeks-to-months anchor without being decade-scale; S3 cost: cost and throughput diverge - internal drafts and reviews are inexpensive and can be produced in parallel; S3 throughput: each actual regulatory interaction is costly in scarce expert effort and is strictly serial with a single regulator, so realised throughput is a small number of formal cycles over the project; S4: intermediate judgment - the licensing work carries no construction, growth, curing or healing floor and could in principle be compressed, but it cannot outrun the as-built condition of the plant or the inspection and demonstration evidence it must certify; statutory review periods and hearing schedules are institutional latency and belong to the governance overlay rather than to this physical-flexibility dimension, so they are deliberately not coded here; S5: errors in the safety case are found in review and corrected by resubmission, which is containable and reversible within the scoped stage at material cost in delay and expert effort; the external safety consequence of an unsound licence is real but is a property of the licensed operation rather than of the licensing work; scope caveat: frozen V1 scope is licensing of the pilot-relevant facility and demonstration and excludes grid connection and commercial-fleet licensing; confidence is low because the scope names no jurisdiction and fusion regulatory regimes differ materially, with some jurisdictions regulating fusion under radiation or by-product rules rather than fission licensing; that variation is a country condition and must not be folded into the intrinsic coding, so this row is scope-sensitive and load-bearing; this row is routed to fusion domain review; critical_path_role remains not_assessed.</x:v>
      </x:c>
      <x:c r="M85" s="9" t="str">
        <x:v>S1: 4 — licensing work is primarily evidence review, analysis, communication, and formal decision-making; S2: 0 — pilot-facility licensing cycles can take years and revisions proceed through formal stages; S3 cost: 0 — full applications and major review iterations are resource-intensive and few; S3 throughput: regulatory review, hearings, and evidence dependencies are strongly serial despite parallel document work; S4: 4 — construction and operation are outside the licensing stage, so no intrinsic physical process floor dominates the review itself; S5: 0 — approval or assurance errors can expose workers, the public, and the environment to severe and potentially irreversible harm; scope caveat: pilot-facility licensing only, not commercial-fleet licensing or grid connection.</x:v>
      </x:c>
      <x:c r="N85" s="9" t="str">
        <x:v>one_point_difference</x:v>
      </x:c>
      <x:c r="O85" s="9" t="str">
        <x:v>not_in_existing_backlog</x:v>
      </x:c>
    </x:row>
    <x:row r="86" ht="284" customHeight="1">
      <x:c r="A86" s="3" t="str">
        <x:v>sp-0030</x:v>
      </x:c>
      <x:c r="B86" s="3" t="str">
        <x:v>S2</x:v>
      </x:c>
      <x:c r="C86" s="3" t="str">
        <x:v>seed-sp-0030-v1</x:v>
      </x:c>
      <x:c r="D86" s="3" t="str">
        <x:v>independent-sp-0030-v1</x:v>
      </x:c>
      <x:c r="E86" s="3" t="str"/>
      <x:c r="F86" s="3" t="str"/>
      <x:c r="G86" s="3" t="str">
        <x:v>exc-sp-0030-s2</x:v>
      </x:c>
      <x:c r="H86" s="3" t="str">
        <x:v>needs_domain_review</x:v>
      </x:c>
      <x:c r="I86" s="3" t="str">
        <x:v>Do not select 0 or 1 yet. Licensing feedback speed is jurisdiction- and pathway-dependent, and the frozen row names no jurisdiction. A fusion-regulatory reviewer should determine whether a shared profile is defensible or whether U.S., Chinese and other licensing variants are required.</x:v>
      </x:c>
      <x:c r="J86" s="3" t="str"/>
      <x:c r="K86" s="3" t="str">
        <x:v>unresolved</x:v>
      </x:c>
      <x:c r="L86" s="3" t="str">
        <x:v>S1: intermediate judgment - the work product is safety analysis, documentation and regulatory argument, which is information work, but a material part of progress consists of physical demonstrations, inspections and as-built verification that documentation alone cannot supply; S2: intermediate judgment - internal iteration on a safety case runs in weeks, but the binding loop is submit, await review, and respond to requests for additional information, which runs many months to years per cycle; that is slower than the weeks-to-months anchor without being decade-scale; S3 cost: cost and throughput diverge - internal drafts and reviews are inexpensive and can be produced in parallel; S3 throughput: each actual regulatory interaction is costly in scarce expert effort and is strictly serial with a single regulator, so realised throughput is a small number of formal cycles over the project; S4: intermediate judgment - the licensing work carries no construction, growth, curing or healing floor and could in principle be compressed, but it cannot outrun the as-built condition of the plant or the inspection and demonstration evidence it must certify; statutory review periods and hearing schedules are institutional latency and belong to the governance overlay rather than to this physical-flexibility dimension, so they are deliberately not coded here; S5: errors in the safety case are found in review and corrected by resubmission, which is containable and reversible within the scoped stage at material cost in delay and expert effort; the external safety consequence of an unsound licence is real but is a property of the licensed operation rather than of the licensing work; scope caveat: frozen V1 scope is licensing of the pilot-relevant facility and demonstration and excludes grid connection and commercial-fleet licensing; confidence is low because the scope names no jurisdiction and fusion regulatory regimes differ materially, with some jurisdictions regulating fusion under radiation or by-product rules rather than fission licensing; that variation is a country condition and must not be folded into the intrinsic coding, so this row is scope-sensitive and load-bearing; this row is routed to fusion domain review; critical_path_role remains not_assessed.</x:v>
      </x:c>
      <x:c r="M86" s="3" t="str">
        <x:v>S1: 4 — licensing work is primarily evidence review, analysis, communication, and formal decision-making; S2: 0 — pilot-facility licensing cycles can take years and revisions proceed through formal stages; S3 cost: 0 — full applications and major review iterations are resource-intensive and few; S3 throughput: regulatory review, hearings, and evidence dependencies are strongly serial despite parallel document work; S4: 4 — construction and operation are outside the licensing stage, so no intrinsic physical process floor dominates the review itself; S5: 0 — approval or assurance errors can expose workers, the public, and the environment to severe and potentially irreversible harm; scope caveat: pilot-facility licensing only, not commercial-fleet licensing or grid connection.</x:v>
      </x:c>
      <x:c r="N86" s="3" t="str">
        <x:v>one_point_difference</x:v>
      </x:c>
      <x:c r="O86" s="3" t="str">
        <x:v>not_in_existing_backlog</x:v>
      </x:c>
    </x:row>
    <x:row r="87" ht="284" customHeight="1">
      <x:c r="A87" s="9" t="str">
        <x:v>sp-0030</x:v>
      </x:c>
      <x:c r="B87" s="9" t="str">
        <x:v>S3</x:v>
      </x:c>
      <x:c r="C87" s="9" t="str">
        <x:v>seed-sp-0030-v1</x:v>
      </x:c>
      <x:c r="D87" s="9" t="str">
        <x:v>independent-sp-0030-v1</x:v>
      </x:c>
      <x:c r="E87" s="9" t="str"/>
      <x:c r="F87" s="9" t="str"/>
      <x:c r="G87" s="9" t="str">
        <x:v>exc-sp-0030-s3</x:v>
      </x:c>
      <x:c r="H87" s="9" t="str">
        <x:v>needs_domain_review</x:v>
      </x:c>
      <x:c r="I87" s="9" t="str">
        <x:v>Do not select 0 or 1 yet. Application drafting can be parallel and repeatable, while formal review cycles are scarce and serial; the balance depends strongly on the licensing regime. Resolve together with the jurisdiction-specific licensing scope.</x:v>
      </x:c>
      <x:c r="J87" s="9" t="str"/>
      <x:c r="K87" s="9" t="str">
        <x:v>unresolved</x:v>
      </x:c>
      <x:c r="L87" s="9" t="str">
        <x:v>S1: intermediate judgment - the work product is safety analysis, documentation and regulatory argument, which is information work, but a material part of progress consists of physical demonstrations, inspections and as-built verification that documentation alone cannot supply; S2: intermediate judgment - internal iteration on a safety case runs in weeks, but the binding loop is submit, await review, and respond to requests for additional information, which runs many months to years per cycle; that is slower than the weeks-to-months anchor without being decade-scale; S3 cost: cost and throughput diverge - internal drafts and reviews are inexpensive and can be produced in parallel; S3 throughput: each actual regulatory interaction is costly in scarce expert effort and is strictly serial with a single regulator, so realised throughput is a small number of formal cycles over the project; S4: intermediate judgment - the licensing work carries no construction, growth, curing or healing floor and could in principle be compressed, but it cannot outrun the as-built condition of the plant or the inspection and demonstration evidence it must certify; statutory review periods and hearing schedules are institutional latency and belong to the governance overlay rather than to this physical-flexibility dimension, so they are deliberately not coded here; S5: errors in the safety case are found in review and corrected by resubmission, which is containable and reversible within the scoped stage at material cost in delay and expert effort; the external safety consequence of an unsound licence is real but is a property of the licensed operation rather than of the licensing work; scope caveat: frozen V1 scope is licensing of the pilot-relevant facility and demonstration and excludes grid connection and commercial-fleet licensing; confidence is low because the scope names no jurisdiction and fusion regulatory regimes differ materially, with some jurisdictions regulating fusion under radiation or by-product rules rather than fission licensing; that variation is a country condition and must not be folded into the intrinsic coding, so this row is scope-sensitive and load-bearing; this row is routed to fusion domain review; critical_path_role remains not_assessed.</x:v>
      </x:c>
      <x:c r="M87" s="9" t="str">
        <x:v>S1: 4 — licensing work is primarily evidence review, analysis, communication, and formal decision-making; S2: 0 — pilot-facility licensing cycles can take years and revisions proceed through formal stages; S3 cost: 0 — full applications and major review iterations are resource-intensive and few; S3 throughput: regulatory review, hearings, and evidence dependencies are strongly serial despite parallel document work; S4: 4 — construction and operation are outside the licensing stage, so no intrinsic physical process floor dominates the review itself; S5: 0 — approval or assurance errors can expose workers, the public, and the environment to severe and potentially irreversible harm; scope caveat: pilot-facility licensing only, not commercial-fleet licensing or grid connection.</x:v>
      </x:c>
      <x:c r="N87" s="9" t="str">
        <x:v>one_point_difference</x:v>
      </x:c>
      <x:c r="O87" s="9" t="str">
        <x:v>not_in_existing_backlog</x:v>
      </x:c>
    </x:row>
    <x:row r="88" ht="284" customHeight="1">
      <x:c r="A88" s="3" t="str">
        <x:v>sp-0030</x:v>
      </x:c>
      <x:c r="B88" s="3" t="str">
        <x:v>S4</x:v>
      </x:c>
      <x:c r="C88" s="3" t="str">
        <x:v>seed-sp-0030-v1</x:v>
      </x:c>
      <x:c r="D88" s="3" t="str">
        <x:v>independent-sp-0030-v1</x:v>
      </x:c>
      <x:c r="E88" s="3" t="str"/>
      <x:c r="F88" s="3" t="str"/>
      <x:c r="G88" s="3" t="str">
        <x:v>exc-sp-0030-s4</x:v>
      </x:c>
      <x:c r="H88" s="3" t="str">
        <x:v>prefer_independent</x:v>
      </x:c>
      <x:c r="I88" s="3" t="str">
        <x:v>Select S4=4. S4 concerns intrinsic physical time floors. Regulatory waiting, hearings and review latency are institutional and belong in the governance/C6 layer; construction and operating evidence are separate stages rather than physical processes inside licensing.</x:v>
      </x:c>
      <x:c r="J88" s="3" t="str"/>
      <x:c r="K88" s="3" t="str">
        <x:v>owner_preference_recorded</x:v>
      </x:c>
      <x:c r="L88" s="3" t="str">
        <x:v>S1: intermediate judgment - the work product is safety analysis, documentation and regulatory argument, which is information work, but a material part of progress consists of physical demonstrations, inspections and as-built verification that documentation alone cannot supply; S2: intermediate judgment - internal iteration on a safety case runs in weeks, but the binding loop is submit, await review, and respond to requests for additional information, which runs many months to years per cycle; that is slower than the weeks-to-months anchor without being decade-scale; S3 cost: cost and throughput diverge - internal drafts and reviews are inexpensive and can be produced in parallel; S3 throughput: each actual regulatory interaction is costly in scarce expert effort and is strictly serial with a single regulator, so realised throughput is a small number of formal cycles over the project; S4: intermediate judgment - the licensing work carries no construction, growth, curing or healing floor and could in principle be compressed, but it cannot outrun the as-built condition of the plant or the inspection and demonstration evidence it must certify; statutory review periods and hearing schedules are institutional latency and belong to the governance overlay rather than to this physical-flexibility dimension, so they are deliberately not coded here; S5: errors in the safety case are found in review and corrected by resubmission, which is containable and reversible within the scoped stage at material cost in delay and expert effort; the external safety consequence of an unsound licence is real but is a property of the licensed operation rather than of the licensing work; scope caveat: frozen V1 scope is licensing of the pilot-relevant facility and demonstration and excludes grid connection and commercial-fleet licensing; confidence is low because the scope names no jurisdiction and fusion regulatory regimes differ materially, with some jurisdictions regulating fusion under radiation or by-product rules rather than fission licensing; that variation is a country condition and must not be folded into the intrinsic coding, so this row is scope-sensitive and load-bearing; this row is routed to fusion domain review; critical_path_role remains not_assessed.</x:v>
      </x:c>
      <x:c r="M88" s="3" t="str">
        <x:v>S1: 4 — licensing work is primarily evidence review, analysis, communication, and formal decision-making; S2: 0 — pilot-facility licensing cycles can take years and revisions proceed through formal stages; S3 cost: 0 — full applications and major review iterations are resource-intensive and few; S3 throughput: regulatory review, hearings, and evidence dependencies are strongly serial despite parallel document work; S4: 4 — construction and operation are outside the licensing stage, so no intrinsic physical process floor dominates the review itself; S5: 0 — approval or assurance errors can expose workers, the public, and the environment to severe and potentially irreversible harm; scope caveat: pilot-facility licensing only, not commercial-fleet licensing or grid connection.</x:v>
      </x:c>
      <x:c r="N88" s="3" t="str">
        <x:v>one_point_difference</x:v>
      </x:c>
      <x:c r="O88" s="3" t="str">
        <x:v>not_in_existing_backlog</x:v>
      </x:c>
    </x:row>
    <x:row r="89" ht="284" customHeight="1">
      <x:c r="A89" s="9" t="str">
        <x:v>sp-0030</x:v>
      </x:c>
      <x:c r="B89" s="9" t="str">
        <x:v>S5</x:v>
      </x:c>
      <x:c r="C89" s="9" t="str">
        <x:v>seed-sp-0030-v1</x:v>
      </x:c>
      <x:c r="D89" s="9" t="str">
        <x:v>independent-sp-0030-v1</x:v>
      </x:c>
      <x:c r="E89" s="9" t="str"/>
      <x:c r="F89" s="9" t="str"/>
      <x:c r="G89" s="9" t="str">
        <x:v>exc-sp-0030-s5</x:v>
      </x:c>
      <x:c r="H89" s="9" t="str">
        <x:v>preserve_disagreement</x:v>
      </x:c>
      <x:c r="I89" s="9" t="str">
        <x:v>Preserve the 0-2 disagreement pending the S5 clarification and regulatory domain review. An erroneous approval can have grave downstream consequences, so S5=2 is too permissive; however, harm also requires operation and additional conditions, so S5=0 is too absolute. A later adjudicated value may be 1, but it should not be manufactured from two model submissions.</x:v>
      </x:c>
      <x:c r="J89" s="9" t="str"/>
      <x:c r="K89" s="9" t="str">
        <x:v>unresolved</x:v>
      </x:c>
      <x:c r="L89" s="9" t="str">
        <x:v>S1: intermediate judgment - the work product is safety analysis, documentation and regulatory argument, which is information work, but a material part of progress consists of physical demonstrations, inspections and as-built verification that documentation alone cannot supply; S2: intermediate judgment - internal iteration on a safety case runs in weeks, but the binding loop is submit, await review, and respond to requests for additional information, which runs many months to years per cycle; that is slower than the weeks-to-months anchor without being decade-scale; S3 cost: cost and throughput diverge - internal drafts and reviews are inexpensive and can be produced in parallel; S3 throughput: each actual regulatory interaction is costly in scarce expert effort and is strictly serial with a single regulator, so realised throughput is a small number of formal cycles over the project; S4: intermediate judgment - the licensing work carries no construction, growth, curing or healing floor and could in principle be compressed, but it cannot outrun the as-built condition of the plant or the inspection and demonstration evidence it must certify; statutory review periods and hearing schedules are institutional latency and belong to the governance overlay rather than to this physical-flexibility dimension, so they are deliberately not coded here; S5: errors in the safety case are found in review and corrected by resubmission, which is containable and reversible within the scoped stage at material cost in delay and expert effort; the external safety consequence of an unsound licence is real but is a property of the licensed operation rather than of the licensing work; scope caveat: frozen V1 scope is licensing of the pilot-relevant facility and demonstration and excludes grid connection and commercial-fleet licensing; confidence is low because the scope names no jurisdiction and fusion regulatory regimes differ materially, with some jurisdictions regulating fusion under radiation or by-product rules rather than fission licensing; that variation is a country condition and must not be folded into the intrinsic coding, so this row is scope-sensitive and load-bearing; this row is routed to fusion domain review; critical_path_role remains not_assessed.</x:v>
      </x:c>
      <x:c r="M89" s="9" t="str">
        <x:v>S1: 4 — licensing work is primarily evidence review, analysis, communication, and formal decision-making; S2: 0 — pilot-facility licensing cycles can take years and revisions proceed through formal stages; S3 cost: 0 — full applications and major review iterations are resource-intensive and few; S3 throughput: regulatory review, hearings, and evidence dependencies are strongly serial despite parallel document work; S4: 4 — construction and operation are outside the licensing stage, so no intrinsic physical process floor dominates the review itself; S5: 0 — approval or assurance errors can expose workers, the public, and the environment to severe and potentially irreversible harm; scope caveat: pilot-facility licensing only, not commercial-fleet licensing or grid connection.</x:v>
      </x:c>
      <x:c r="N89" s="9" t="str">
        <x:v>difference_ge_2</x:v>
      </x:c>
      <x:c r="O89" s="9" t="str">
        <x:v>owner_disposition_recorded_pending_targeted_s5_adjudication</x:v>
      </x:c>
    </x:row>
    <x:row r="90" ht="252" customHeight="1">
      <x:c r="A90" s="3" t="str">
        <x:v>sp-0031</x:v>
      </x:c>
      <x:c r="B90" s="3" t="str">
        <x:v>S1</x:v>
      </x:c>
      <x:c r="C90" s="3" t="str">
        <x:v>seed-sp-0031-v1</x:v>
      </x:c>
      <x:c r="D90" s="3" t="str">
        <x:v>independent-sp-0031-v1</x:v>
      </x:c>
      <x:c r="E90" s="3" t="str"/>
      <x:c r="F90" s="3" t="str"/>
      <x:c r="G90" s="3" t="str"/>
      <x:c r="H90" s="3" t="str"/>
      <x:c r="I90" s="3" t="str"/>
      <x:c r="J90" s="3" t="str"/>
      <x:c r="K90" s="3" t="str"/>
      <x:c r="L90" s="3" t="str">
        <x:v>S1: interconnection studies, protection coordination and network modelling are informational, while physical connection assets and utility-side works are not; both are material within the scoped stage and neither dominates; S2: intermediate judgment - technical study iterations run in months, but the binding loop of interconnection study cycles followed by utility construction of connection assets runs from many months to years, which is slower than the weeks-to-months anchor without being decade-scale intrinsically; S3 cost: cost and throughput diverge - study iterations and protection-setting revisions are inexpensive and can be run in parallel; S3 throughput: the connection itself is a single, serially scheduled event with the network operator, so decision-relevant throughput is effectively one attempt; S4: intermediate judgment - much of the scoped work is study and coordination with no physical floor of its own, but energisation cannot precede construction and commissioning of physical connection assets such as switchyard and transmission works, which imposes a construction-scale minimum duration; S5: intermediate judgment - errors found in study are cheap to correct, but errors that reach energisation can trip or disturb a shared network with consequences for third parties and for the connection agreement, which is materially worse than containable while not being catastrophic; scope caveat: frozen V1 scope is connection and technical integration for pilot demonstration and excludes commercial-fleet rollout and market diffusion; confidence is low because a fusion pilot's connection scope is unprecedented and because interconnection queue duration and procedure are strongly jurisdiction- and network-specific; those conditions are country-stage modifiers and are deliberately not folded into this intrinsic coding, so this row is scope-sensitive; this row is routed to fusion domain review; critical_path_role remains not_assessed.</x:v>
      </x:c>
      <x:c r="M90" s="3" t="str">
        <x:v>S1: 2 — grid integration combines studies, protection and control design, coordination, physical connection, and technical testing; S2: 1 — Intermediate judgment: interconnection, equipment, and test cycles commonly take months to years rather than weeks or decades; S3 cost: 0 — connection changes and energized integrated tests require high-value equipment, grid access, and coordinated specialist work; S3 throughput: approvals, outages, and the single physical connection make decisive attempts scarce and serial; S4: 0 — equipment delivery, installation, outage windows, and physical connection floors dominate elapsed time; S5: 0 — protection or integration errors can damage equipment or compromise grid and facility safety; scope caveat: pilot demonstration connection only, not broader market diffusion or commercial-fleet rollout.</x:v>
      </x:c>
      <x:c r="N90" s="3" t="str">
        <x:v>exact_agreement</x:v>
      </x:c>
      <x:c r="O90" s="3" t="str">
        <x:v>not_in_existing_backlog</x:v>
      </x:c>
    </x:row>
    <x:row r="91" ht="252" customHeight="1">
      <x:c r="A91" s="9" t="str">
        <x:v>sp-0031</x:v>
      </x:c>
      <x:c r="B91" s="9" t="str">
        <x:v>S2</x:v>
      </x:c>
      <x:c r="C91" s="9" t="str">
        <x:v>seed-sp-0031-v1</x:v>
      </x:c>
      <x:c r="D91" s="9" t="str">
        <x:v>independent-sp-0031-v1</x:v>
      </x:c>
      <x:c r="E91" s="9" t="str"/>
      <x:c r="F91" s="9" t="str"/>
      <x:c r="G91" s="9" t="str"/>
      <x:c r="H91" s="9" t="str"/>
      <x:c r="I91" s="9" t="str"/>
      <x:c r="J91" s="9" t="str"/>
      <x:c r="K91" s="9" t="str"/>
      <x:c r="L91" s="9" t="str">
        <x:v>S1: interconnection studies, protection coordination and network modelling are informational, while physical connection assets and utility-side works are not; both are material within the scoped stage and neither dominates; S2: intermediate judgment - technical study iterations run in months, but the binding loop of interconnection study cycles followed by utility construction of connection assets runs from many months to years, which is slower than the weeks-to-months anchor without being decade-scale intrinsically; S3 cost: cost and throughput diverge - study iterations and protection-setting revisions are inexpensive and can be run in parallel; S3 throughput: the connection itself is a single, serially scheduled event with the network operator, so decision-relevant throughput is effectively one attempt; S4: intermediate judgment - much of the scoped work is study and coordination with no physical floor of its own, but energisation cannot precede construction and commissioning of physical connection assets such as switchyard and transmission works, which imposes a construction-scale minimum duration; S5: intermediate judgment - errors found in study are cheap to correct, but errors that reach energisation can trip or disturb a shared network with consequences for third parties and for the connection agreement, which is materially worse than containable while not being catastrophic; scope caveat: frozen V1 scope is connection and technical integration for pilot demonstration and excludes commercial-fleet rollout and market diffusion; confidence is low because a fusion pilot's connection scope is unprecedented and because interconnection queue duration and procedure are strongly jurisdiction- and network-specific; those conditions are country-stage modifiers and are deliberately not folded into this intrinsic coding, so this row is scope-sensitive; this row is routed to fusion domain review; critical_path_role remains not_assessed.</x:v>
      </x:c>
      <x:c r="M91" s="9" t="str">
        <x:v>S1: 2 — grid integration combines studies, protection and control design, coordination, physical connection, and technical testing; S2: 1 — Intermediate judgment: interconnection, equipment, and test cycles commonly take months to years rather than weeks or decades; S3 cost: 0 — connection changes and energized integrated tests require high-value equipment, grid access, and coordinated specialist work; S3 throughput: approvals, outages, and the single physical connection make decisive attempts scarce and serial; S4: 0 — equipment delivery, installation, outage windows, and physical connection floors dominate elapsed time; S5: 0 — protection or integration errors can damage equipment or compromise grid and facility safety; scope caveat: pilot demonstration connection only, not broader market diffusion or commercial-fleet rollout.</x:v>
      </x:c>
      <x:c r="N91" s="9" t="str">
        <x:v>exact_agreement</x:v>
      </x:c>
      <x:c r="O91" s="9" t="str">
        <x:v>not_in_existing_backlog</x:v>
      </x:c>
    </x:row>
    <x:row r="92" ht="252" customHeight="1">
      <x:c r="A92" s="3" t="str">
        <x:v>sp-0031</x:v>
      </x:c>
      <x:c r="B92" s="3" t="str">
        <x:v>S3</x:v>
      </x:c>
      <x:c r="C92" s="3" t="str">
        <x:v>seed-sp-0031-v1</x:v>
      </x:c>
      <x:c r="D92" s="3" t="str">
        <x:v>independent-sp-0031-v1</x:v>
      </x:c>
      <x:c r="E92" s="3" t="str"/>
      <x:c r="F92" s="3" t="str"/>
      <x:c r="G92" s="3" t="str">
        <x:v>exc-sp-0031-s3</x:v>
      </x:c>
      <x:c r="H92" s="3" t="str">
        <x:v>needs_better_evidence</x:v>
      </x:c>
      <x:c r="I92" s="3" t="str">
        <x:v>Preserve the 0-1 range. A pilot connection combines cheap study iterations with one scarce physical connection and energized test sequence. No directly comparable fusion-grid case exists, and site reuse, network strength and outage rules can change the topology.</x:v>
      </x:c>
      <x:c r="J92" s="3" t="str"/>
      <x:c r="K92" s="3" t="str">
        <x:v>unresolved</x:v>
      </x:c>
      <x:c r="L92" s="3" t="str">
        <x:v>S1: interconnection studies, protection coordination and network modelling are informational, while physical connection assets and utility-side works are not; both are material within the scoped stage and neither dominates; S2: intermediate judgment - technical study iterations run in months, but the binding loop of interconnection study cycles followed by utility construction of connection assets runs from many months to years, which is slower than the weeks-to-months anchor without being decade-scale intrinsically; S3 cost: cost and throughput diverge - study iterations and protection-setting revisions are inexpensive and can be run in parallel; S3 throughput: the connection itself is a single, serially scheduled event with the network operator, so decision-relevant throughput is effectively one attempt; S4: intermediate judgment - much of the scoped work is study and coordination with no physical floor of its own, but energisation cannot precede construction and commissioning of physical connection assets such as switchyard and transmission works, which imposes a construction-scale minimum duration; S5: intermediate judgment - errors found in study are cheap to correct, but errors that reach energisation can trip or disturb a shared network with consequences for third parties and for the connection agreement, which is materially worse than containable while not being catastrophic; scope caveat: frozen V1 scope is connection and technical integration for pilot demonstration and excludes commercial-fleet rollout and market diffusion; confidence is low because a fusion pilot's connection scope is unprecedented and because interconnection queue duration and procedure are strongly jurisdiction- and network-specific; those conditions are country-stage modifiers and are deliberately not folded into this intrinsic coding, so this row is scope-sensitive; this row is routed to fusion domain review; critical_path_role remains not_assessed.</x:v>
      </x:c>
      <x:c r="M92" s="3" t="str">
        <x:v>S1: 2 — grid integration combines studies, protection and control design, coordination, physical connection, and technical testing; S2: 1 — Intermediate judgment: interconnection, equipment, and test cycles commonly take months to years rather than weeks or decades; S3 cost: 0 — connection changes and energized integrated tests require high-value equipment, grid access, and coordinated specialist work; S3 throughput: approvals, outages, and the single physical connection make decisive attempts scarce and serial; S4: 0 — equipment delivery, installation, outage windows, and physical connection floors dominate elapsed time; S5: 0 — protection or integration errors can damage equipment or compromise grid and facility safety; scope caveat: pilot demonstration connection only, not broader market diffusion or commercial-fleet rollout.</x:v>
      </x:c>
      <x:c r="N92" s="3" t="str">
        <x:v>one_point_difference</x:v>
      </x:c>
      <x:c r="O92" s="3" t="str">
        <x:v>not_in_existing_backlog</x:v>
      </x:c>
    </x:row>
    <x:row r="93" ht="252" customHeight="1">
      <x:c r="A93" s="9" t="str">
        <x:v>sp-0031</x:v>
      </x:c>
      <x:c r="B93" s="9" t="str">
        <x:v>S4</x:v>
      </x:c>
      <x:c r="C93" s="9" t="str">
        <x:v>seed-sp-0031-v1</x:v>
      </x:c>
      <x:c r="D93" s="9" t="str">
        <x:v>independent-sp-0031-v1</x:v>
      </x:c>
      <x:c r="E93" s="9" t="str"/>
      <x:c r="F93" s="9" t="str"/>
      <x:c r="G93" s="9" t="str">
        <x:v>exc-sp-0031-s4</x:v>
      </x:c>
      <x:c r="H93" s="9" t="str">
        <x:v>needs_better_evidence</x:v>
      </x:c>
      <x:c r="I93" s="9" t="str">
        <x:v>Preserve the 0-1 range. Equipment delivery, switchyard work, outage windows and energization impose physical floors, but an existing power-plant site may reuse substantial infrastructure. The generic row is too underspecified for a single value without a site/pathway case.</x:v>
      </x:c>
      <x:c r="J93" s="9" t="str"/>
      <x:c r="K93" s="9" t="str">
        <x:v>unresolved</x:v>
      </x:c>
      <x:c r="L93" s="9" t="str">
        <x:v>S1: interconnection studies, protection coordination and network modelling are informational, while physical connection assets and utility-side works are not; both are material within the scoped stage and neither dominates; S2: intermediate judgment - technical study iterations run in months, but the binding loop of interconnection study cycles followed by utility construction of connection assets runs from many months to years, which is slower than the weeks-to-months anchor without being decade-scale intrinsically; S3 cost: cost and throughput diverge - study iterations and protection-setting revisions are inexpensive and can be run in parallel; S3 throughput: the connection itself is a single, serially scheduled event with the network operator, so decision-relevant throughput is effectively one attempt; S4: intermediate judgment - much of the scoped work is study and coordination with no physical floor of its own, but energisation cannot precede construction and commissioning of physical connection assets such as switchyard and transmission works, which imposes a construction-scale minimum duration; S5: intermediate judgment - errors found in study are cheap to correct, but errors that reach energisation can trip or disturb a shared network with consequences for third parties and for the connection agreement, which is materially worse than containable while not being catastrophic; scope caveat: frozen V1 scope is connection and technical integration for pilot demonstration and excludes commercial-fleet rollout and market diffusion; confidence is low because a fusion pilot's connection scope is unprecedented and because interconnection queue duration and procedure are strongly jurisdiction- and network-specific; those conditions are country-stage modifiers and are deliberately not folded into this intrinsic coding, so this row is scope-sensitive; this row is routed to fusion domain review; critical_path_role remains not_assessed.</x:v>
      </x:c>
      <x:c r="M93" s="9" t="str">
        <x:v>S1: 2 — grid integration combines studies, protection and control design, coordination, physical connection, and technical testing; S2: 1 — Intermediate judgment: interconnection, equipment, and test cycles commonly take months to years rather than weeks or decades; S3 cost: 0 — connection changes and energized integrated tests require high-value equipment, grid access, and coordinated specialist work; S3 throughput: approvals, outages, and the single physical connection make decisive attempts scarce and serial; S4: 0 — equipment delivery, installation, outage windows, and physical connection floors dominate elapsed time; S5: 0 — protection or integration errors can damage equipment or compromise grid and facility safety; scope caveat: pilot demonstration connection only, not broader market diffusion or commercial-fleet rollout.</x:v>
      </x:c>
      <x:c r="N93" s="9" t="str">
        <x:v>one_point_difference</x:v>
      </x:c>
      <x:c r="O93" s="9" t="str">
        <x:v>not_in_existing_backlog</x:v>
      </x:c>
    </x:row>
    <x:row r="94" ht="252" customHeight="1">
      <x:c r="A94" s="3" t="str">
        <x:v>sp-0031</x:v>
      </x:c>
      <x:c r="B94" s="3" t="str">
        <x:v>S5</x:v>
      </x:c>
      <x:c r="C94" s="3" t="str">
        <x:v>seed-sp-0031-v1</x:v>
      </x:c>
      <x:c r="D94" s="3" t="str">
        <x:v>independent-sp-0031-v1</x:v>
      </x:c>
      <x:c r="E94" s="3" t="str"/>
      <x:c r="F94" s="3" t="str"/>
      <x:c r="G94" s="3" t="str">
        <x:v>exc-sp-0031-s5</x:v>
      </x:c>
      <x:c r="H94" s="3" t="str">
        <x:v>prefer_seed</x:v>
      </x:c>
      <x:c r="I94" s="3" t="str">
        <x:v>Select S5=1. Protection or integration errors can damage equipment and disturb a shared network, but layered protection, staged energization and utility operating procedures normally limit the direct consequence. This is very low tolerance, not automatically catastrophic or irreversible.</x:v>
      </x:c>
      <x:c r="J94" s="3" t="str"/>
      <x:c r="K94" s="3" t="str">
        <x:v>owner_preference_recorded</x:v>
      </x:c>
      <x:c r="L94" s="3" t="str">
        <x:v>S1: interconnection studies, protection coordination and network modelling are informational, while physical connection assets and utility-side works are not; both are material within the scoped stage and neither dominates; S2: intermediate judgment - technical study iterations run in months, but the binding loop of interconnection study cycles followed by utility construction of connection assets runs from many months to years, which is slower than the weeks-to-months anchor without being decade-scale intrinsically; S3 cost: cost and throughput diverge - study iterations and protection-setting revisions are inexpensive and can be run in parallel; S3 throughput: the connection itself is a single, serially scheduled event with the network operator, so decision-relevant throughput is effectively one attempt; S4: intermediate judgment - much of the scoped work is study and coordination with no physical floor of its own, but energisation cannot precede construction and commissioning of physical connection assets such as switchyard and transmission works, which imposes a construction-scale minimum duration; S5: intermediate judgment - errors found in study are cheap to correct, but errors that reach energisation can trip or disturb a shared network with consequences for third parties and for the connection agreement, which is materially worse than containable while not being catastrophic; scope caveat: frozen V1 scope is connection and technical integration for pilot demonstration and excludes commercial-fleet rollout and market diffusion; confidence is low because a fusion pilot's connection scope is unprecedented and because interconnection queue duration and procedure are strongly jurisdiction- and network-specific; those conditions are country-stage modifiers and are deliberately not folded into this intrinsic coding, so this row is scope-sensitive; this row is routed to fusion domain review; critical_path_role remains not_assessed.</x:v>
      </x:c>
      <x:c r="M94" s="3" t="str">
        <x:v>S1: 2 — grid integration combines studies, protection and control design, coordination, physical connection, and technical testing; S2: 1 — Intermediate judgment: interconnection, equipment, and test cycles commonly take months to years rather than weeks or decades; S3 cost: 0 — connection changes and energized integrated tests require high-value equipment, grid access, and coordinated specialist work; S3 throughput: approvals, outages, and the single physical connection make decisive attempts scarce and serial; S4: 0 — equipment delivery, installation, outage windows, and physical connection floors dominate elapsed time; S5: 0 — protection or integration errors can damage equipment or compromise grid and facility safety; scope caveat: pilot demonstration connection only, not broader market diffusion or commercial-fleet rollout.</x:v>
      </x:c>
      <x:c r="N94" s="3" t="str">
        <x:v>one_point_difference</x:v>
      </x:c>
      <x:c r="O94" s="3" t="str">
        <x:v>owner_disposition_recorded_pending_targeted_s5_adjudication</x:v>
      </x:c>
    </x:row>
  </x:sheetData>
  <x:mergeCells>
    <x:mergeCell ref="A1:D1"/>
    <x:mergeCell ref="A2:D2"/>
  </x:mergeCells>
  <x:pageMargins left="0.7" right="0.7" top="0.75" bottom="0.75" header="0.3" footer="0.3"/>
  <x:tableParts count="1">
    <x:tablePart xmlns:r="http://schemas.openxmlformats.org/officeDocument/2006/relationships" r:id="Rb4db1a378bfd4c0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3" hidden="0" customWidth="1"/>
    <x:col min="2" max="2" width="84" hidden="0" customWidth="1"/>
    <x:col min="3" max="3" width="106" hidden="0" customWidth="1"/>
    <x:col min="4" max="4" width="31" hidden="0" customWidth="1"/>
    <x:col min="5" max="5" width="35" hidden="0" customWidth="1"/>
    <x:col min="6" max="6" width="16" hidden="0" customWidth="1"/>
    <x:col min="7" max="7" width="107" hidden="0" customWidth="1"/>
    <x:col min="8" max="8" width="150" hidden="0" customWidth="1"/>
  </x:cols>
  <x:sheetData>
    <x:row r="1" ht="54" customHeight="1">
      <x:c r="A1" s="5" t="str">
        <x:v>Sources</x:v>
      </x:c>
      <x:c r="B1" s="5"/>
      <x:c r="C1" s="5"/>
      <x:c r="D1" s="5"/>
      <x:c r="E1" s="5"/>
      <x:c r="F1" s="5"/>
      <x:c r="G1" s="5"/>
      <x:c r="H1" s="5"/>
    </x:row>
    <x:row r="2" ht="43" customHeight="1">
      <x:c r="A2" s="6" t="str">
        <x:v>AI-assisted · recommendation only. Details extend to the right.</x:v>
      </x:c>
      <x:c r="B2" s="6"/>
      <x:c r="C2" s="6"/>
      <x:c r="D2" s="6"/>
      <x:c r="E2" s="6"/>
      <x:c r="F2" s="6"/>
      <x:c r="G2" s="6"/>
      <x:c r="H2" s="6"/>
    </x:row>
    <x:row r="3">
      <x:c r="A3" s="3"/>
      <x:c r="B3" s="3"/>
      <x:c r="C3" s="3"/>
      <x:c r="D3" s="3"/>
      <x:c r="E3" s="3"/>
      <x:c r="F3" s="3"/>
      <x:c r="G3" s="3"/>
      <x:c r="H3" s="3"/>
    </x:row>
    <x:row r="4" ht="43" customHeight="1">
      <x:c r="A4" s="8" t="str">
        <x:v>Canonical source ID</x:v>
      </x:c>
      <x:c r="B4" s="8" t="str">
        <x:v>Title</x:v>
      </x:c>
      <x:c r="C4" s="8" t="str">
        <x:v>Primary / publisher URL</x:v>
      </x:c>
      <x:c r="D4" s="8" t="str">
        <x:v>Independent-validation status</x:v>
      </x:c>
      <x:c r="E4" s="8" t="str">
        <x:v>Evidence basis (bank)</x:v>
      </x:c>
      <x:c r="F4" s="8" t="str">
        <x:v>Last verified</x:v>
      </x:c>
      <x:c r="G4" s="8" t="str">
        <x:v>Source limitation</x:v>
      </x:c>
      <x:c r="H4" s="8" t="str">
        <x:v>Promotion use restrictions</x:v>
      </x:c>
    </x:row>
    <x:row r="5" ht="76" customHeight="1">
      <x:c r="A5" s="9" t="str">
        <x:v>fusion-src-004</x:v>
      </x:c>
      <x:c r="B5" s="9" t="str">
        <x:v>Atomic Energy Law of the People's Republic of China</x:v>
      </x:c>
      <x:c r="C5" s="9" t="str">
        <x:v>https://www.caea.gov.cn/n6760338/n6760344/n10763762/n10763767/c10704020/content.html</x:v>
      </x:c>
      <x:c r="D5" s="9" t="str">
        <x:v>not_applicable</x:v>
      </x:c>
      <x:c r="E5" s="9" t="str">
        <x:v>observed legal/regulatory status</x:v>
      </x:c>
      <x:c r="F5" s="9" t="str">
        <x:v>2026-08-31</x:v>
      </x:c>
      <x:c r="G5" s="9" t="str">
        <x:v>An enacted law establishes legal status and authority; it is not a completed fusion licensing case or evidence of review duration. Earlier draft numbering differed, and final Article 37 concerns disused radioactive-source recovery/disposal.</x:v>
      </x:c>
      <x:c r="H5" s="9" t="str">
        <x:v>Source-record review only; no claim approval, S-value selection, or profile approval. Fusion-domain review remains pending before profile use. An enacted law establishes legal status and authority; it is not a completed fusion licensing case or evidence of review duration. Earlier draft numbering differed, and final Article 37 concerns disused radioactive-source recovery/disposal. Direct public quotation or load-bearing translated wording remains blocked until the stated native-language/specialist review is completed.</x:v>
      </x:c>
    </x:row>
    <x:row r="6" ht="44" customHeight="1">
      <x:c r="A6" s="3" t="str">
        <x:v>fusion-src-007</x:v>
      </x:c>
      <x:c r="B6" s="3" t="str">
        <x:v>High-fidelity data-driven dynamics model for reinforcement learning-based control in HL-3 tokamak</x:v>
      </x:c>
      <x:c r="C6" s="3" t="str">
        <x:v>https://doi.org/10.1038/s42005-025-02302-y</x:v>
      </x:c>
      <x:c r="D6" s="3" t="str">
        <x:v>independently_validated</x:v>
      </x:c>
      <x:c r="E6" s="3" t="str">
        <x:v>observed experimental result</x:v>
      </x:c>
      <x:c r="F6" s="3" t="str">
        <x:v>2026-08-31</x:v>
      </x:c>
      <x:c r="G6" s="3" t="str">
        <x:v>Research-device demonstration; no nuclear-safety case, plant reliability, or transfer to pilot conditions.</x:v>
      </x:c>
      <x:c r="H6" s="3" t="str">
        <x:v>Source-record review only; no claim approval, S-value selection, or profile approval. Fusion-domain review remains pending before profile use. Research-device demonstration; no nuclear-safety case, plant reliability, or transfer to pilot conditions.</x:v>
      </x:c>
    </x:row>
    <x:row r="7" ht="44" customHeight="1">
      <x:c r="A7" s="9" t="str">
        <x:v>fusion-src-008</x:v>
      </x:c>
      <x:c r="B7" s="9" t="str">
        <x:v>Interpretability analysis and real-time prediction of locked mode-induced disruptions in EAST</x:v>
      </x:c>
      <x:c r="C7" s="9" t="str">
        <x:v>https://doi.org/10.1088/1361-6587/ade5c5</x:v>
      </x:c>
      <x:c r="D7" s="9" t="str">
        <x:v>independently_validated</x:v>
      </x:c>
      <x:c r="E7" s="9" t="str">
        <x:v>proof of concept</x:v>
      </x:c>
      <x:c r="F7" s="9" t="str">
        <x:v>2026-08-31</x:v>
      </x:c>
      <x:c r="G7" s="9" t="str">
        <x:v>Prediction performance is not autonomous avoidance, safe termination, or pilot-plant error tolerance.</x:v>
      </x:c>
      <x:c r="H7" s="9" t="str">
        <x:v>Source-record review only; no claim approval, S-value selection, or profile approval. Fusion-domain review remains pending before profile use. Prediction performance is not autonomous avoidance, safe termination, or pilot-plant error tolerance.</x:v>
      </x:c>
    </x:row>
    <x:row r="8" ht="44" customHeight="1">
      <x:c r="A8" s="3" t="str">
        <x:v>fusion-src-009</x:v>
      </x:c>
      <x:c r="B8" s="3" t="str">
        <x:v>Automatic identification of tokamak plasma confinement states with multi-task learning neural network</x:v>
      </x:c>
      <x:c r="C8" s="3" t="str">
        <x:v>https://doi.org/10.1088/1741-4326/ade3ed</x:v>
      </x:c>
      <x:c r="D8" s="3" t="str">
        <x:v>independently_validated</x:v>
      </x:c>
      <x:c r="E8" s="3" t="str">
        <x:v>proof of concept</x:v>
      </x:c>
      <x:c r="F8" s="3" t="str">
        <x:v>2026-08-31</x:v>
      </x:c>
      <x:c r="G8" s="3" t="str">
        <x:v>Classification benchmark; not a closed-loop control or safety demonstration.</x:v>
      </x:c>
      <x:c r="H8" s="3" t="str">
        <x:v>Source-record review only; no claim approval, S-value selection, or profile approval. Fusion-domain review remains pending before profile use. Classification benchmark; not a closed-loop control or safety demonstration.</x:v>
      </x:c>
    </x:row>
    <x:row r="9" ht="156" customHeight="1">
      <x:c r="A9" s="9" t="str">
        <x:v>fusion-src-011</x:v>
      </x:c>
      <x:c r="B9" s="9" t="str">
        <x:v>Chinese fusion device sustains plasma operation for over 1,000 seconds</x:v>
      </x:c>
      <x:c r="C9" s="9" t="str">
        <x:v>https://www.sh.news.cn/20260410/696d097c4a6c41b9af5f654314252a04/c.html</x:v>
      </x:c>
      <x:c r="D9" s="9" t="str">
        <x:v>not_independently_validated</x:v>
      </x:c>
      <x:c r="E9" s="9" t="str">
        <x:v>observed facility milestone</x:v>
      </x:c>
      <x:c r="F9" s="9" t="str">
        <x:v>2026-08-31</x:v>
      </x:c>
      <x:c r="G9" s="9" t="str">
        <x:v>Official media repeats company data and explicitly describes low-parameter operation; not independent experimental validation, net energy, or plant availability.</x:v>
      </x:c>
      <x:c r="H9" s="9" t="str">
        <x:v>Source-record review only; no claim approval, S-value selection, or profile approval. Fusion-domain review remains pending before profile use. Official media repeats company data and explicitly describes low-parameter operation; not independent experimental validation, net energy, or plant availability. Reviewed source identity does not supply independent validation; company/operator reports and repeated company data must not be used as independently observed empirical outcomes. Rejected use fusion-rej-009: HH70 is a small, non-DT research tokamak without a breeder blanket, turbine, integrated tritium plant, or commercial nuclear commissioning. Permitted limited use: Optimistic analogue for small research-device iteration only. Do not transfer elapsed time to a pilot plant. Rejected use fusion-rej-010: Pulse duration and energy-turnover metrics omit blanket life, tritium-plant availability, component replacement, turbine/grid systems, downtime, and capacity factor. Permitted limited use: Plasma/facility milestone with device, discharge, and metric definitions preserved. No evidence of plant availability is implied.</x:v>
      </x:c>
    </x:row>
    <x:row r="10" ht="108" customHeight="1">
      <x:c r="A10" s="3" t="str">
        <x:v>fusion-src-012</x:v>
      </x:c>
      <x:c r="B10" s="3" t="str">
        <x:v>HH70 achieves first plasma</x:v>
      </x:c>
      <x:c r="C10" s="3" t="str">
        <x:v>https://energysingularity.cn/en/news/news-025.html</x:v>
      </x:c>
      <x:c r="D10" s="3" t="str">
        <x:v>not_independently_validated</x:v>
      </x:c>
      <x:c r="E10" s="3" t="str">
        <x:v>observed facility milestone</x:v>
      </x:c>
      <x:c r="F10" s="3" t="str">
        <x:v>2026-08-31</x:v>
      </x:c>
      <x:c r="G10" s="3" t="str">
        <x:v>First-party milestone; small non-DT device without blanket, tritium plant, turbine, or commercial licensing.</x:v>
      </x:c>
      <x:c r="H10" s="3" t="str">
        <x:v>Source-record review only; no claim approval, S-value selection, or profile approval. Fusion-domain review remains pending before profile use. First-party milestone; small non-DT device without blanket, tritium plant, turbine, or commercial licensing. Reviewed source identity does not supply independent validation; company/operator reports and repeated company data must not be used as independently observed empirical outcomes. Rejected use fusion-rej-009: HH70 is a small, non-DT research tokamak without a breeder blanket, turbine, integrated tritium plant, or commercial nuclear commissioning. Permitted limited use: Optimistic analogue for small research-device iteration only. Do not transfer elapsed time to a pilot plant.</x:v>
      </x:c>
    </x:row>
    <x:row r="11" ht="44" customHeight="1">
      <x:c r="A11" s="9" t="str">
        <x:v>fusion-src-014</x:v>
      </x:c>
      <x:c r="B11" s="9" t="str">
        <x:v>Development and construction of magnet system for world's first full high temperature superconducting tokamak</x:v>
      </x:c>
      <x:c r="C11" s="9" t="str">
        <x:v>https://doi.org/10.1016/j.supcon.2024.100137</x:v>
      </x:c>
      <x:c r="D11" s="9" t="str">
        <x:v>independently_validated</x:v>
      </x:c>
      <x:c r="E11" s="9" t="str">
        <x:v>proof of concept</x:v>
      </x:c>
      <x:c r="F11" s="9" t="str">
        <x:v>2026-08-31</x:v>
      </x:c>
      <x:c r="G11" s="9" t="str">
        <x:v>Magnet engineering does not validate the 1,337-second AI causal claim or a fusion power plant.</x:v>
      </x:c>
      <x:c r="H11" s="9" t="str">
        <x:v>Source-record review only; no claim approval, S-value selection, or profile approval. Fusion-domain review remains pending before profile use. Magnet engineering does not validate the 1,337-second AI causal claim or a fusion power plant.</x:v>
      </x:c>
    </x:row>
    <x:row r="12" ht="44" customHeight="1">
      <x:c r="A12" s="3" t="str">
        <x:v>fusion-src-017</x:v>
      </x:c>
      <x:c r="B12" s="3" t="str">
        <x:v>Magnetic control of tokamak plasmas through deep reinforcement learning</x:v>
      </x:c>
      <x:c r="C12" s="3" t="str">
        <x:v>https://doi.org/10.1038/s41586-021-04301-9</x:v>
      </x:c>
      <x:c r="D12" s="3" t="str">
        <x:v>independently_validated</x:v>
      </x:c>
      <x:c r="E12" s="3" t="str">
        <x:v>observed experimental result</x:v>
      </x:c>
      <x:c r="F12" s="3" t="str">
        <x:v>2026-08-31</x:v>
      </x:c>
      <x:c r="G12" s="3" t="str">
        <x:v>Research tokamak; does not establish pilot-plant transfer, safety, reliability, or reduced nuclear commissioning time.</x:v>
      </x:c>
      <x:c r="H12" s="3" t="str">
        <x:v>Source-record review only; no claim approval, S-value selection, or profile approval. Fusion-domain review remains pending before profile use. Research tokamak; does not establish pilot-plant transfer, safety, reliability, or reduced nuclear commissioning time.</x:v>
      </x:c>
    </x:row>
    <x:row r="13" ht="44" customHeight="1">
      <x:c r="A13" s="9" t="str">
        <x:v>fusion-src-018</x:v>
      </x:c>
      <x:c r="B13" s="9" t="str">
        <x:v>Avoiding fusion plasma tearing instability with deep reinforcement learning</x:v>
      </x:c>
      <x:c r="C13" s="9" t="str">
        <x:v>https://doi.org/10.1038/s41586-024-07024-9</x:v>
      </x:c>
      <x:c r="D13" s="9" t="str">
        <x:v>independently_validated</x:v>
      </x:c>
      <x:c r="E13" s="9" t="str">
        <x:v>observed experimental result</x:v>
      </x:c>
      <x:c r="F13" s="9" t="str">
        <x:v>2026-08-31</x:v>
      </x:c>
      <x:c r="G13" s="9" t="str">
        <x:v>Early proof of concept on a research device; not universal disruption avoidance or a nuclear-safety system.</x:v>
      </x:c>
      <x:c r="H13" s="9" t="str">
        <x:v>Source-record review only; no claim approval, S-value selection, or profile approval. Fusion-domain review remains pending before profile use. Early proof of concept on a research device; not universal disruption avoidance or a nuclear-safety system.</x:v>
      </x:c>
    </x:row>
    <x:row r="14" ht="92" customHeight="1">
      <x:c r="A14" s="3" t="str">
        <x:v>fusion-src-019</x:v>
      </x:c>
      <x:c r="B14" s="3" t="str">
        <x:v>Highest fusion performance without harmful edge energy bursts in tokamak</x:v>
      </x:c>
      <x:c r="C14" s="3" t="str">
        <x:v>https://doi.org/10.1038/s41467-024-48415-w</x:v>
      </x:c>
      <x:c r="D14" s="3" t="str">
        <x:v>independently_validated</x:v>
      </x:c>
      <x:c r="E14" s="3" t="str">
        <x:v>observed experimental result</x:v>
      </x:c>
      <x:c r="F14" s="3" t="str">
        <x:v>2026-08-31</x:v>
      </x:c>
      <x:c r="G14" s="3" t="str">
        <x:v>Device- and scenario-specific experiment; the pack's simplified 'up to 90%' line is not promoted without a metric-matched locator.</x:v>
      </x:c>
      <x:c r="H14" s="3" t="str">
        <x:v>Source-record review only; no claim approval, S-value selection, or profile approval. Fusion-domain review remains pending before profile use. Device- and scenario-specific experiment; the pack's simplified 'up to 90%' line is not promoted without a metric-matched locator. Rejected use fusion-rej-005: The paper reports several device- and metric-specific changes; the pack's compressed percentage omits the exact metric, denominator, device, and condition. Permitted limited use: Cite the peer-reviewed cross-device experiment qualitatively or extract a metric-specific value with a Results/figure locator. The source remains staged; only the simplified number is rejected.</x:v>
      </x:c>
    </x:row>
    <x:row r="15" ht="44" customHeight="1">
      <x:c r="A15" s="9" t="str">
        <x:v>fusion-src-020</x:v>
      </x:c>
      <x:c r="B15" s="9" t="str">
        <x:v>Disruption prediction for future tokamaks using parameter-based transfer learning</x:v>
      </x:c>
      <x:c r="C15" s="9" t="str">
        <x:v>https://doi.org/10.1038/s42005-023-01296-9</x:v>
      </x:c>
      <x:c r="D15" s="9" t="str">
        <x:v>independently_validated</x:v>
      </x:c>
      <x:c r="E15" s="9" t="str">
        <x:v>proof of concept</x:v>
      </x:c>
      <x:c r="F15" s="9" t="str">
        <x:v>2026-08-31</x:v>
      </x:c>
      <x:c r="G15" s="9" t="str">
        <x:v>Offline, small-target-domain proof of concept; not live transfer to a future pilot plant.</x:v>
      </x:c>
      <x:c r="H15" s="9" t="str">
        <x:v>Source-record review only; no claim approval, S-value selection, or profile approval. Fusion-domain review remains pending before profile use. Offline, small-target-domain proof of concept; not live transfer to a future pilot plant.</x:v>
      </x:c>
    </x:row>
    <x:row r="16" ht="44" customHeight="1">
      <x:c r="A16" s="3" t="str">
        <x:v>fusion-src-021</x:v>
      </x:c>
      <x:c r="B16" s="3" t="str">
        <x:v>Multimodal super-resolution: discovering hidden physics and its application to fusion plasmas</x:v>
      </x:c>
      <x:c r="C16" s="3" t="str">
        <x:v>https://doi.org/10.1038/s41467-025-63492-1</x:v>
      </x:c>
      <x:c r="D16" s="3" t="str">
        <x:v>independently_validated</x:v>
      </x:c>
      <x:c r="E16" s="3" t="str">
        <x:v>proof of concept</x:v>
      </x:c>
      <x:c r="F16" s="3" t="str">
        <x:v>2026-08-31</x:v>
      </x:c>
      <x:c r="G16" s="3" t="str">
        <x:v>Retrospective/synthetic diagnostic reconstruction; not a qualified replacement for safety instrumentation.</x:v>
      </x:c>
      <x:c r="H16" s="3" t="str">
        <x:v>Source-record review only; no claim approval, S-value selection, or profile approval. Fusion-domain review remains pending before profile use. Retrospective/synthetic diagnostic reconstruction; not a qualified replacement for safety instrumentation.</x:v>
      </x:c>
    </x:row>
    <x:row r="17" ht="44" customHeight="1">
      <x:c r="A17" s="9" t="str">
        <x:v>fusion-src-022</x:v>
      </x:c>
      <x:c r="B17" s="9" t="str">
        <x:v>GS-DeepNet: mastering tokamak plasma equilibria with deep neural networks and the Grad–Shafranov equation</x:v>
      </x:c>
      <x:c r="C17" s="9" t="str">
        <x:v>https://doi.org/10.1038/s41598-023-42991-5</x:v>
      </x:c>
      <x:c r="D17" s="9" t="str">
        <x:v>independently_validated</x:v>
      </x:c>
      <x:c r="E17" s="9" t="str">
        <x:v>proof of concept</x:v>
      </x:c>
      <x:c r="F17" s="9" t="str">
        <x:v>2026-08-31</x:v>
      </x:c>
      <x:c r="G17" s="9" t="str">
        <x:v>Model benchmark; not a closed-loop or safety-qualified deployment.</x:v>
      </x:c>
      <x:c r="H17" s="9" t="str">
        <x:v>Source-record review only; no claim approval, S-value selection, or profile approval. Fusion-domain review remains pending before profile use. Model benchmark; not a closed-loop or safety-qualified deployment.</x:v>
      </x:c>
    </x:row>
    <x:row r="18" ht="60" customHeight="1">
      <x:c r="A18" s="3" t="str">
        <x:v>fusion-src-023</x:v>
      </x:c>
      <x:c r="B18" s="3" t="str">
        <x:v>Finding the shadows in a fusion system faster with AI</x:v>
      </x:c>
      <x:c r="C18" s="3" t="str">
        <x:v>https://www.pppl.gov/news/2025/finding-shadows-fusion-system-faster-ai</x:v>
      </x:c>
      <x:c r="D18" s="3" t="str">
        <x:v>independently_validated</x:v>
      </x:c>
      <x:c r="E18" s="3" t="str">
        <x:v>proof of concept</x:v>
      </x:c>
      <x:c r="F18" s="3" t="str">
        <x:v>2026-08-31</x:v>
      </x:c>
      <x:c r="G18" s="3" t="str">
        <x:v>The present method covers 15 tiles in a small part of SPARC's exhaust geometry and is tied to that design; it is not plant-level schedule acceleration, materials qualification, or a generic plasma-facing-component result.</x:v>
      </x:c>
      <x:c r="H18" s="3" t="str">
        <x:v>Source-record review only; no claim approval, S-value selection, or profile approval. Fusion-domain review remains pending before profile use. The present method covers 15 tiles in a small part of SPARC's exhaust geometry and is tied to that design; it is not plant-level schedule acceleration, materials qualification, or a generic plasma-facing-component result.</x:v>
      </x:c>
    </x:row>
    <x:row r="19" ht="60" customHeight="1">
      <x:c r="A19" s="9" t="str">
        <x:v>fusion-src-024</x:v>
      </x:c>
      <x:c r="B19" s="9" t="str">
        <x:v>PPPL launches STELLAR-AI platform to accelerate fusion energy research</x:v>
      </x:c>
      <x:c r="C19" s="9" t="str">
        <x:v>https://www.pppl.gov/news/2026/pppl-launches-stellar-ai-platform-accelerate-fusion-energy-research</x:v>
      </x:c>
      <x:c r="D19" s="9" t="str">
        <x:v>not_applicable</x:v>
      </x:c>
      <x:c r="E19" s="9" t="str">
        <x:v>programme announcement</x:v>
      </x:c>
      <x:c r="F19" s="9" t="str">
        <x:v>2026-08-31</x:v>
      </x:c>
      <x:c r="G19" s="9" t="str">
        <x:v>Programme announcement and capability intent, not an observed AI-shortened research cycle; its 'NSTX-U this year' wording was superseded by a 2027 experiment target.</x:v>
      </x:c>
      <x:c r="H19" s="9" t="str">
        <x:v>Source-record review only; no claim approval, S-value selection, or profile approval. Fusion-domain review remains pending before profile use. Programme announcement and capability intent, not an observed AI-shortened research cycle; its 'NSTX-U this year' wording was superseded by a 2027 experiment target.</x:v>
      </x:c>
    </x:row>
    <x:row r="20" ht="92" customHeight="1">
      <x:c r="A20" s="3" t="str">
        <x:v>fusion-src-026</x:v>
      </x:c>
      <x:c r="B20" s="3" t="str">
        <x:v>MPEX user research forum 2026</x:v>
      </x:c>
      <x:c r="C20" s="3" t="str">
        <x:v>https://mpex.ornl.gov/murf-2026/</x:v>
      </x:c>
      <x:c r="D20" s="3" t="str">
        <x:v>not_applicable</x:v>
      </x:c>
      <x:c r="E20" s="3" t="str">
        <x:v>programme announcement</x:v>
      </x:c>
      <x:c r="F20" s="3" t="str">
        <x:v>2026-08-31</x:v>
      </x:c>
      <x:c r="G20" s="3" t="str">
        <x:v>MPEX does not itself supply a fusion-spectrum neutron field; intended capability is not an observed qualification programme.</x:v>
      </x:c>
      <x:c r="H20" s="3" t="str">
        <x:v>Source-record review only; no claim approval, S-value selection, or profile approval. Fusion-domain review remains pending before profile use. MPEX does not itself supply a fusion-spectrum neutron field; intended capability is not an observed qualification programme. Rejected use fusion-rej-011: MPEX is a plasma-materials exposure facility under assembly; it can test already neutron-irradiated specimens but is not itself a fusion-spectrum neutron source. Permitted limited use: Official intended capability for reactor-edge plasma exposure. Do not call intended capability completed qualification.</x:v>
      </x:c>
    </x:row>
    <x:row r="21" ht="44" customHeight="1">
      <x:c r="A21" s="9" t="str">
        <x:v>fusion-src-027</x:v>
      </x:c>
      <x:c r="B21" s="9" t="str">
        <x:v>AI-accelerated fusion materials test facility</x:v>
      </x:c>
      <x:c r="C21" s="9" t="str">
        <x:v>https://www.ornl.gov/research-highlight/ai-accelerated-fusion-materials-test-facility</x:v>
      </x:c>
      <x:c r="D21" s="9" t="str">
        <x:v>not_applicable</x:v>
      </x:c>
      <x:c r="E21" s="9" t="str">
        <x:v>programme announcement</x:v>
      </x:c>
      <x:c r="F21" s="9" t="str">
        <x:v>2026-08-31</x:v>
      </x:c>
      <x:c r="G21" s="9" t="str">
        <x:v>Announced/developing capability, not demonstrated materials qualification or component-life acceleration.</x:v>
      </x:c>
      <x:c r="H21" s="9" t="str">
        <x:v>Source-record review only; no claim approval, S-value selection, or profile approval. Fusion-domain review remains pending before profile use. Announced/developing capability, not demonstrated materials qualification or component-life acceleration.</x:v>
      </x:c>
    </x:row>
    <x:row r="22" ht="44" customHeight="1">
      <x:c r="A22" s="3" t="str">
        <x:v>fusion-src-028</x:v>
      </x:c>
      <x:c r="B22" s="3" t="str">
        <x:v>Fusion Science and Technology Roadmap</x:v>
      </x:c>
      <x:c r="C22" s="3" t="str">
        <x:v>https://www.energy.gov/documents/fusion-science-and-technology-roadmap</x:v>
      </x:c>
      <x:c r="D22" s="3" t="str">
        <x:v>not_applicable</x:v>
      </x:c>
      <x:c r="E22" s="3" t="str">
        <x:v>programme announcement</x:v>
      </x:c>
      <x:c r="F22" s="3" t="str">
        <x:v>2026-08-31</x:v>
      </x:c>
      <x:c r="G22" s="3" t="str">
        <x:v>Official roadmap and targets, not observed reductions in materials, blanket, tritium, licensing, or construction time.</x:v>
      </x:c>
      <x:c r="H22" s="3" t="str">
        <x:v>Source-record review only; no claim approval, S-value selection, or profile approval. Fusion-domain review remains pending before profile use. Official roadmap and targets, not observed reductions in materials, blanket, tritium, licensing, or construction time.</x:v>
      </x:c>
    </x:row>
    <x:row r="23" ht="60" customHeight="1">
      <x:c r="A23" s="9" t="str">
        <x:v>fusion-src-029</x:v>
      </x:c>
      <x:c r="B23" s="9" t="str">
        <x:v>DIII-D National Fusion Program completes facility upgrade</x:v>
      </x:c>
      <x:c r="C23" s="9" t="str">
        <x:v>https://www.ga.com/diii-d-national-fusion-program-completes-facility-upgrade</x:v>
      </x:c>
      <x:c r="D23" s="9" t="str">
        <x:v>not_independently_validated</x:v>
      </x:c>
      <x:c r="E23" s="9" t="str">
        <x:v>observed facility milestone</x:v>
      </x:c>
      <x:c r="F23" s="9" t="str">
        <x:v>2026-08-31</x:v>
      </x:c>
      <x:c r="G23" s="9" t="str">
        <x:v>Facility milestone, not an AI result or a directly comparable nuclear commissioning programme.</x:v>
      </x:c>
      <x:c r="H23" s="9" t="str">
        <x:v>Source-record review only; no claim approval, S-value selection, or profile approval. Fusion-domain review remains pending before profile use. Facility milestone, not an AI result or a directly comparable nuclear commissioning programme. Reviewed source identity does not supply independent validation; company/operator reports and repeated company data must not be used as independently observed empirical outcomes.</x:v>
      </x:c>
    </x:row>
    <x:row r="24" ht="124" customHeight="1">
      <x:c r="A24" s="3" t="str">
        <x:v>fusion-src-031</x:v>
      </x:c>
      <x:c r="B24" s="3" t="str">
        <x:v>SPARC technology page</x:v>
      </x:c>
      <x:c r="C24" s="3" t="str">
        <x:v>https://www.cfs.energy/technology/</x:v>
      </x:c>
      <x:c r="D24" s="3" t="str">
        <x:v>not_independently_validated</x:v>
      </x:c>
      <x:c r="E24" s="3" t="str">
        <x:v>company target</x:v>
      </x:c>
      <x:c r="F24" s="3" t="str">
        <x:v>2026-08-31</x:v>
      </x:c>
      <x:c r="G24" s="3" t="str">
        <x:v>Company target and living page; no observed Q&gt;1 result or grid connection.</x:v>
      </x:c>
      <x:c r="H24" s="3" t="str">
        <x:v>Source-record review only; no claim approval, S-value selection, or profile approval. Fusion-domain review remains pending before profile use. Company target and living page; no observed Q&gt;1 result or grid connection. Reviewed source identity does not supply independent validation; company/operator reports and repeated company data must not be used as independently observed empirical outcomes. Rejected use fusion-rej-013: Targets and programme announcements do not demonstrate net energy, electricity export, fuel self-sufficiency, availability, or grid connection. Permitted limited use: Target tracking with owner, date, pathway, and target status preserved. No target is typed as an observed result. Promotion freshness check 2026-09-01: CFS SPARC milestones still place construction in progress and first plasma/net energy in the future; no outcome approval.</x:v>
      </x:c>
    </x:row>
    <x:row r="25" ht="108" customHeight="1">
      <x:c r="A25" s="9" t="str">
        <x:v>fusion-src-032</x:v>
      </x:c>
      <x:c r="B25" s="9" t="str">
        <x:v>New best values at Wendelstein 7-X</x:v>
      </x:c>
      <x:c r="C25" s="9" t="str">
        <x:v>https://www.ipp.mpg.de/5532474/w7x</x:v>
      </x:c>
      <x:c r="D25" s="9" t="str">
        <x:v>not_applicable</x:v>
      </x:c>
      <x:c r="E25" s="9" t="str">
        <x:v>observed experimental result</x:v>
      </x:c>
      <x:c r="F25" s="9" t="str">
        <x:v>2026-08-31</x:v>
      </x:c>
      <x:c r="G25" s="9" t="str">
        <x:v>Different discharges/metrics; neither is net energy, DT operation, plant availability, or blanket life.</x:v>
      </x:c>
      <x:c r="H25" s="9" t="str">
        <x:v>Source-record review only; no claim approval, S-value selection, or profile approval. Fusion-domain review remains pending before profile use. Different discharges/metrics; neither is net energy, DT operation, plant availability, or blanket life. Direct public quotation or load-bearing translated wording remains blocked until the stated native-language/specialist review is completed. Rejected use fusion-rej-010: Pulse duration and energy-turnover metrics omit blanket life, tritium-plant availability, component replacement, turbine/grid systems, downtime, and capacity factor. Permitted limited use: Plasma/facility milestone with device, discharge, and metric definitions preserved. No evidence of plant availability is implied.</x:v>
      </x:c>
    </x:row>
    <x:row r="26" ht="44" customHeight="1">
      <x:c r="A26" s="3" t="str">
        <x:v>fusion-src-033</x:v>
      </x:c>
      <x:c r="B26" s="3" t="str">
        <x:v>First plasma 23 October</x:v>
      </x:c>
      <x:c r="C26" s="3" t="str">
        <x:v>https://www.jt60sa.org/wp/first-plasma-23-october/</x:v>
      </x:c>
      <x:c r="D26" s="3" t="str">
        <x:v>not_applicable</x:v>
      </x:c>
      <x:c r="E26" s="3" t="str">
        <x:v>observed facility milestone</x:v>
      </x:c>
      <x:c r="F26" s="3" t="str">
        <x:v>2026-08-31</x:v>
      </x:c>
      <x:c r="G26" s="3" t="str">
        <x:v>Low-power research commissioning milestone; not high-power operation, DT commissioning, or commercial reliability.</x:v>
      </x:c>
      <x:c r="H26" s="3" t="str">
        <x:v>Source-record review only; no claim approval, S-value selection, or profile approval. Fusion-domain review remains pending before profile use. Low-power research commissioning milestone; not high-power operation, DT commissioning, or commercial reliability.</x:v>
      </x:c>
    </x:row>
    <x:row r="27" ht="44" customHeight="1">
      <x:c r="A27" s="9" t="str">
        <x:v>fusion-src-034</x:v>
      </x:c>
      <x:c r="B27" s="9" t="str">
        <x:v>OP2 has started</x:v>
      </x:c>
      <x:c r="C27" s="9" t="str">
        <x:v>https://www.jt60sa.org/wp/op2-has-started/</x:v>
      </x:c>
      <x:c r="D27" s="9" t="str">
        <x:v>not_applicable</x:v>
      </x:c>
      <x:c r="E27" s="9" t="str">
        <x:v>official target</x:v>
      </x:c>
      <x:c r="F27" s="9" t="str">
        <x:v>2026-08-31</x:v>
      </x:c>
      <x:c r="G27" s="9" t="str">
        <x:v>Mixed current facility milestone and future target; not proof that the experimental campaign or high-power commissioning is complete.</x:v>
      </x:c>
      <x:c r="H27" s="9" t="str">
        <x:v>Source-record review only; no claim approval, S-value selection, or profile approval. Fusion-domain review remains pending before profile use. Mixed current facility milestone and future target; not proof that the experimental campaign or high-power commissioning is complete.</x:v>
      </x:c>
    </x:row>
    <x:row r="28" ht="44" customHeight="1">
      <x:c r="A28" s="3" t="str">
        <x:v>fusion-src-036</x:v>
      </x:c>
      <x:c r="B28" s="3" t="str">
        <x:v>ITER Machine Assembly Overview</x:v>
      </x:c>
      <x:c r="C28" s="3" t="str">
        <x:v>https://www.iter.org/project/assembly-overview</x:v>
      </x:c>
      <x:c r="D28" s="3" t="str">
        <x:v>not_applicable</x:v>
      </x:c>
      <x:c r="E28" s="3" t="str">
        <x:v>official target</x:v>
      </x:c>
      <x:c r="F28" s="3" t="str">
        <x:v>2026-08-31</x:v>
      </x:c>
      <x:c r="G28" s="3" t="str">
        <x:v>Official baseline proposal, not observed completion; later phases add nuclear/tritium systems.</x:v>
      </x:c>
      <x:c r="H28" s="3" t="str">
        <x:v>Source-record review only; no claim approval, S-value selection, or profile approval. Fusion-domain review remains pending before profile use. Official baseline proposal, not observed completion; later phases add nuclear/tritium systems.</x:v>
      </x:c>
    </x:row>
    <x:row r="29" ht="44" customHeight="1">
      <x:c r="A29" s="9" t="str">
        <x:v>fusion-src-037</x:v>
      </x:c>
      <x:c r="B29" s="9" t="str">
        <x:v>Millions of data points, one successful lift</x:v>
      </x:c>
      <x:c r="C29" s="9" t="str">
        <x:v>https://www.iter.org/node/20687/millions-data-points-one-successful-lift</x:v>
      </x:c>
      <x:c r="D29" s="9" t="str">
        <x:v>not_applicable</x:v>
      </x:c>
      <x:c r="E29" s="9" t="str">
        <x:v>observed facility milestone</x:v>
      </x:c>
      <x:c r="F29" s="9" t="str">
        <x:v>2026-08-31</x:v>
      </x:c>
      <x:c r="G29" s="9" t="str">
        <x:v>Observed construction/facility milestone only; not an AI result, integrated chamber completion, commissioning, or plant completion.</x:v>
      </x:c>
      <x:c r="H29" s="9" t="str">
        <x:v>Source-record review only; no claim approval, S-value selection, or profile approval. Fusion-domain review remains pending before profile use. Observed construction/facility milestone only; not an AI result, integrated chamber completion, commissioning, or plant completion.</x:v>
      </x:c>
    </x:row>
    <x:row r="30" ht="44" customHeight="1">
      <x:c r="A30" s="3" t="str">
        <x:v>fusion-src-038</x:v>
      </x:c>
      <x:c r="B30" s="3" t="str">
        <x:v>Tritium breeding</x:v>
      </x:c>
      <x:c r="C30" s="3" t="str">
        <x:v>https://www.iter.org/machine/supporting-systems/tritium-breeding</x:v>
      </x:c>
      <x:c r="D30" s="3" t="str">
        <x:v>not_applicable</x:v>
      </x:c>
      <x:c r="E30" s="3" t="str">
        <x:v>programme announcement</x:v>
      </x:c>
      <x:c r="F30" s="3" t="str">
        <x:v>2026-08-31</x:v>
      </x:c>
      <x:c r="G30" s="3" t="str">
        <x:v>Future test programme; ITER is not a tritium-self-sufficient power plant and testing is not qualification of a commercial blanket.</x:v>
      </x:c>
      <x:c r="H30" s="3" t="str">
        <x:v>Source-record review only; no claim approval, S-value selection, or profile approval. Fusion-domain review remains pending before profile use. Future test programme; ITER is not a tritium-self-sufficient power plant and testing is not qualification of a commercial blanket.</x:v>
      </x:c>
    </x:row>
    <x:row r="31" ht="44" customHeight="1">
      <x:c r="A31" s="9" t="str">
        <x:v>fusion-src-039</x:v>
      </x:c>
      <x:c r="B31" s="9" t="str">
        <x:v>Regulatory Framework for Fusion Machines; Proposed Rule</x:v>
      </x:c>
      <x:c r="C31" s="9" t="str">
        <x:v>https://www.federalregister.gov/documents/2026/02/26/2026-03865/regulatory-framework-for-fusion-machines</x:v>
      </x:c>
      <x:c r="D31" s="9" t="str">
        <x:v>not_applicable</x:v>
      </x:c>
      <x:c r="E31" s="9" t="str">
        <x:v>observed legal/regulatory status</x:v>
      </x:c>
      <x:c r="F31" s="9" t="str">
        <x:v>2026-08-31</x:v>
      </x:c>
      <x:c r="G31" s="9" t="str">
        <x:v>Proposed rule and draft guidance, not a final rule, observed plant-licence review, or licence-review-duration dataset.</x:v>
      </x:c>
      <x:c r="H31" s="9" t="str">
        <x:v>Source-record review only; no claim approval, S-value selection, or profile approval. Fusion-domain review remains pending before profile use. Proposed rule and draft guidance, not a final rule, observed plant-licence review, or licence-review-duration dataset.</x:v>
      </x:c>
    </x:row>
    <x:row r="32" ht="76" customHeight="1">
      <x:c r="A32" s="3" t="str">
        <x:v>fusion-src-040</x:v>
      </x:c>
      <x:c r="B32" s="3" t="str">
        <x:v>Fusion Machine Rulemaking Status</x:v>
      </x:c>
      <x:c r="C32" s="3" t="str">
        <x:v>https://www.nrc.gov/materials/fusion/rulemaking-status</x:v>
      </x:c>
      <x:c r="D32" s="3" t="str">
        <x:v>not_applicable</x:v>
      </x:c>
      <x:c r="E32" s="3" t="str">
        <x:v>observed legal/regulatory status</x:v>
      </x:c>
      <x:c r="F32" s="3" t="str">
        <x:v>2026-08-31</x:v>
      </x:c>
      <x:c r="G32" s="3" t="str">
        <x:v>Current regulator status, not evidence of licence throughput, a completed plant application, or licence-review duration.</x:v>
      </x:c>
      <x:c r="H32" s="3" t="str">
        <x:v>Source-record review only; no claim approval, S-value selection, or profile approval. Fusion-domain review remains pending before profile use. Current regulator status, not evidence of licence throughput, a completed plant application, or licence-review duration. Promotion freshness check 2026-09-01: NRC status page still lists the February proposed rule and draft guidance; footer remains 2026-08-27. No final rule or completed licence case is inferred.</x:v>
      </x:c>
    </x:row>
    <x:row r="33" ht="60" customHeight="1">
      <x:c r="A33" s="9" t="str">
        <x:v>fusion-src-045</x:v>
      </x:c>
      <x:c r="B33" s="9" t="str">
        <x:v>The IFMIF-DONES Irradiation Modules</x:v>
      </x:c>
      <x:c r="C33" s="9" t="str">
        <x:v>https://doi.org/10.1088/1741-4326/add172</x:v>
      </x:c>
      <x:c r="D33" s="9" t="str">
        <x:v>independently_validated</x:v>
      </x:c>
      <x:c r="E33" s="9" t="str">
        <x:v>model or scenario estimate</x:v>
      </x:c>
      <x:c r="F33" s="9" t="str">
        <x:v>2026-08-31</x:v>
      </x:c>
      <x:c r="G33" s="9" t="str">
        <x:v>IFMIF-DONES and its modules are under design/development; no completed or accepted qualification dataset exists. Spectrum/transmutation matching is material-dependent: Eurofer is tailored, while tungsten/copper conditions are not perfectly matched.</x:v>
      </x:c>
      <x:c r="H33" s="9" t="str">
        <x:v>Source-record review only; no claim approval, S-value selection, or profile approval. Fusion-domain review remains pending before profile use. IFMIF-DONES and its modules are under design/development; no completed or accepted qualification dataset exists. Spectrum/transmutation matching is material-dependent: Eurofer is tailored, while tungsten/copper conditions are not perfectly matched.</x:v>
      </x:c>
    </x:row>
    <x:row r="34" ht="60" customHeight="1">
      <x:c r="A34" s="3" t="str">
        <x:v>fusion-src-046</x:v>
      </x:c>
      <x:c r="B34" s="3" t="str">
        <x:v>IFMIF-DONES: Experimental strategy for fusion materials qualification</x:v>
      </x:c>
      <x:c r="C34" s="3" t="str">
        <x:v>https://conferences.iaea.org/event/406/contributions/37622/</x:v>
      </x:c>
      <x:c r="D34" s="3" t="str">
        <x:v>not_applicable</x:v>
      </x:c>
      <x:c r="E34" s="3" t="str">
        <x:v>official target</x:v>
      </x:c>
      <x:c r="F34" s="3" t="str">
        <x:v>2026-08-31</x:v>
      </x:c>
      <x:c r="G34" s="3" t="str">
        <x:v>The facility is under construction and the values are programme design targets, not observed irradiation campaigns or a completed accepted qualification dataset. Post-irradiation examination remains part of the qualification chain.</x:v>
      </x:c>
      <x:c r="H34" s="3" t="str">
        <x:v>Source-record review only; no claim approval, S-value selection, or profile approval. Fusion-domain review remains pending before profile use. The facility is under construction and the values are programme design targets, not observed irradiation campaigns or a completed accepted qualification dataset. Post-irradiation examination remains part of the qualification chain.</x:v>
      </x:c>
    </x:row>
  </x:sheetData>
  <x:mergeCells>
    <x:mergeCell ref="A1:D1"/>
    <x:mergeCell ref="A2:D2"/>
  </x:mergeCells>
  <x:pageMargins left="0.7" right="0.7" top="0.75" bottom="0.75" header="0.3" footer="0.3"/>
  <x:tableParts count="1">
    <x:tablePart xmlns:r="http://schemas.openxmlformats.org/officeDocument/2006/relationships" r:id="R0600383297a24e2b"/>
  </x:tableParts>
</x:worksheet>
</file>