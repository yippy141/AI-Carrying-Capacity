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01852a210a4c6c" /></Relationships>
</file>

<file path=xl/workbook.xml><?xml version="1.0" encoding="utf-8"?>
<x:workbook xmlns:x="http://schemas.openxmlformats.org/spreadsheetml/2006/main">
  <x:sheets>
    <x:sheet xmlns:r="http://schemas.openxmlformats.org/officeDocument/2006/relationships" name="Overview" sheetId="1" r:id="Rec05b33e91d84d8a"/>
    <x:sheet xmlns:r="http://schemas.openxmlformats.org/officeDocument/2006/relationships" name="Profile review" sheetId="2" r:id="R761fb5c128e94026"/>
    <x:sheet xmlns:r="http://schemas.openxmlformats.org/officeDocument/2006/relationships" name="Dimension review" sheetId="3" r:id="R5ef53dc192a0406b"/>
    <x:sheet xmlns:r="http://schemas.openxmlformats.org/officeDocument/2006/relationships" name="Load-bearing gaps" sheetId="4" r:id="Rd49ab1a65d9846d8"/>
    <x:sheet xmlns:r="http://schemas.openxmlformats.org/officeDocument/2006/relationships" name="Variants" sheetId="5" r:id="R15906f1a4561494e"/>
    <x:sheet xmlns:r="http://schemas.openxmlformats.org/officeDocument/2006/relationships" name="Owner exceptions" sheetId="6" r:id="R3a195672db484e1c"/>
    <x:sheet xmlns:r="http://schemas.openxmlformats.org/officeDocument/2006/relationships" name="Human experts" sheetId="7" r:id="R7be2fb3a4f594b6d"/>
    <x:sheet xmlns:r="http://schemas.openxmlformats.org/officeDocument/2006/relationships" name="Preserved record" sheetId="8" r:id="R8e8e188c17544a89"/>
    <x:sheet xmlns:r="http://schemas.openxmlformats.org/officeDocument/2006/relationships" name="Sources" sheetId="9" r:id="R660aa80e8f2b49a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20313B"/>
      <x:name val="Aptos"/>
    </x:font>
    <x:font>
      <x:b/>
      <x:sz val="18"/>
      <x:color rgb="FFFFFFFF"/>
      <x:name val="Aptos"/>
    </x:font>
    <x:font>
      <x:sz val="11"/>
      <x:color rgb="FF50646C"/>
      <x:name val="Aptos"/>
    </x:font>
    <x:font>
      <x:b/>
      <x:sz val="11"/>
      <x:color rgb="FFFFFFFF"/>
      <x:name val="Aptos"/>
    </x:font>
    <x:font>
      <x:b/>
      <x:sz val="23"/>
      <x:color rgb="FFFFFFFF"/>
      <x:name val="Aptos"/>
    </x:font>
    <x:font>
      <x:b/>
      <x:sz val="11"/>
      <x:color rgb="FF176E70"/>
      <x:name val="Aptos"/>
    </x:font>
    <x:font>
      <x:b/>
      <x:sz val="18"/>
      <x:color rgb="FF176E70"/>
      <x:name val="Aptos"/>
    </x:font>
  </x:fonts>
  <x:fills count="6">
    <x:fill>
      <x:patternFill patternType="none"/>
    </x:fill>
    <x:fill>
      <x:patternFill patternType="gray125"/>
    </x:fill>
    <x:fill>
      <x:patternFill patternType="solid">
        <x:fgColor rgb="FF183440"/>
      </x:patternFill>
    </x:fill>
    <x:fill>
      <x:patternFill patternType="solid">
        <x:fgColor rgb="FF176E70"/>
      </x:patternFill>
    </x:fill>
    <x:fill>
      <x:patternFill patternType="solid">
        <x:fgColor rgb="FFF4F7F7"/>
      </x:patternFill>
    </x:fill>
    <x:fill>
      <x:patternFill patternType="solid">
        <x:fgColor rgb="FFE1EEEC"/>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4"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5"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200" fontId="7"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cellXfs>
  <x:cellStyles count="1">
    <x:cellStyle name="Normal" xfId="0"/>
  </x:cellStyles>
  <x:dxfs count="2">
    <x:dxf>
      <x:font>
        <x:color rgb="FF794A0A"/>
      </x:font>
      <x:fill>
        <x:patternFill patternType="solid">
          <x:bgColor rgb="FFFFF0D6"/>
        </x:patternFill>
      </x:fill>
    </x:dxf>
    <x:dxf>
      <x:font>
        <x:b/>
        <x:color rgb="FF8A3226"/>
      </x:font>
      <x:fill>
        <x:patternFill patternType="solid">
          <x:bgColor rgb="FFFBE5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ab1a86cbf94323" /><Relationship Type="http://schemas.openxmlformats.org/officeDocument/2006/relationships/theme" Target="/xl/theme/theme1.xml" Id="R3a9c112d4d0045b4" /><Relationship Type="http://schemas.openxmlformats.org/officeDocument/2006/relationships/sharedStrings" Target="/xl/sharedStrings.xml" Id="R6762cea303eb4fd7" /><Relationship Type="http://schemas.openxmlformats.org/officeDocument/2006/relationships/worksheet" Target="/xl/worksheets/sheet1.xml" Id="Rec05b33e91d84d8a" /><Relationship Type="http://schemas.openxmlformats.org/officeDocument/2006/relationships/worksheet" Target="/xl/worksheets/sheet2.xml" Id="R761fb5c128e94026" /><Relationship Type="http://schemas.openxmlformats.org/officeDocument/2006/relationships/worksheet" Target="/xl/worksheets/sheet3.xml" Id="R5ef53dc192a0406b" /><Relationship Type="http://schemas.openxmlformats.org/officeDocument/2006/relationships/worksheet" Target="/xl/worksheets/sheet4.xml" Id="Rd49ab1a65d9846d8" /><Relationship Type="http://schemas.openxmlformats.org/officeDocument/2006/relationships/worksheet" Target="/xl/worksheets/sheet5.xml" Id="R15906f1a4561494e" /><Relationship Type="http://schemas.openxmlformats.org/officeDocument/2006/relationships/worksheet" Target="/xl/worksheets/sheet6.xml" Id="R3a195672db484e1c" /><Relationship Type="http://schemas.openxmlformats.org/officeDocument/2006/relationships/worksheet" Target="/xl/worksheets/sheet7.xml" Id="R7be2fb3a4f594b6d" /><Relationship Type="http://schemas.openxmlformats.org/officeDocument/2006/relationships/worksheet" Target="/xl/worksheets/sheet8.xml" Id="R8e8e188c17544a89" /><Relationship Type="http://schemas.openxmlformats.org/officeDocument/2006/relationships/worksheet" Target="/xl/worksheets/sheet9.xml" Id="R660aa80e8f2b49a6" /></Relationships>
</file>

<file path=xl/tables/table1.xml><?xml version="1.0" encoding="utf-8"?>
<x:table xmlns:x="http://schemas.openxmlformats.org/spreadsheetml/2006/main" id="2" name="ProfilereviewTable" displayName="ProfilereviewTable" ref="A4:O22" headerRowCount="1" totalsRowCount="0" totalsRowShown="0">
  <x:tableColumns count="15">
    <x:tableColumn id="1" name="Profile ID"/>
    <x:tableColumn id="2" name="Workflow"/>
    <x:tableColumn id="3" name="Lifecycle"/>
    <x:tableColumn id="4" name="Frozen scope"/>
    <x:tableColumn id="5" name="S1 assessment"/>
    <x:tableColumn id="6" name="S2 assessment"/>
    <x:tableColumn id="7" name="S3 assessment"/>
    <x:tableColumn id="8" name="S4 assessment"/>
    <x:tableColumn id="9" name="S5 assessment"/>
    <x:tableColumn id="10" name="Open gap IDs"/>
    <x:tableColumn id="11" name="Unresolved empirical gaps"/>
    <x:tableColumn id="12" name="Canonical source IDs"/>
    <x:tableColumn id="13" name="Pathway"/>
    <x:tableColumn id="14" name="Application context"/>
    <x:tableColumn id="15" name="Critical path role"/>
  </x:tableColumns>
  <x:tableStyleInfo name="TableStyleMedium2" showFirstColumn="0" showLastColumn="0" showRowStripes="1" showColumnStripes="0"/>
</x:table>
</file>

<file path=xl/tables/table2.xml><?xml version="1.0" encoding="utf-8"?>
<x:table xmlns:x="http://schemas.openxmlformats.org/spreadsheetml/2006/main" id="1" name="DimensionreviewTable" displayName="DimensionreviewTable" ref="A4:AA94" headerRowCount="1" totalsRowCount="0" totalsRowShown="0">
  <x:tableColumns count="27">
    <x:tableColumn id="1" name="Profile ID"/>
    <x:tableColumn id="2" name="Dimension"/>
    <x:tableColumn id="3" name="Seed"/>
    <x:tableColumn id="4" name="Independent"/>
    <x:tableColumn id="5" name="Current low"/>
    <x:tableColumn id="6" name="Current high"/>
    <x:tableColumn id="7" name="Owner disposition"/>
    <x:tableColumn id="8" name="Recommended low"/>
    <x:tableColumn id="9" name="Recommended high"/>
    <x:tableColumn id="10" name="Form"/>
    <x:tableColumn id="11" name="Confidence"/>
    <x:tableColumn id="12" name="Disposition"/>
    <x:tableColumn id="13" name="Reason"/>
    <x:tableColumn id="14" name="Canonical source IDs"/>
    <x:tableColumn id="15" name="Revisit trigger"/>
    <x:tableColumn id="16" name="Named expert required"/>
    <x:tableColumn id="17" name="Owner exception"/>
    <x:tableColumn id="18" name="Workflow"/>
    <x:tableColumn id="19" name="Evidence relation"/>
    <x:tableColumn id="20" name="Evidence maturity"/>
    <x:tableColumn id="21" name="Technical assessment"/>
    <x:tableColumn id="22" name="Technical transferability"/>
    <x:tableColumn id="23" name="S5 bounded consequence"/>
    <x:tableColumn id="24" name="S5 next independent boundary"/>
    <x:tableColumn id="25" name="S5 excluded consequences"/>
    <x:tableColumn id="26" name="S5 boundary status"/>
    <x:tableColumn id="27" name="Review ID"/>
  </x:tableColumns>
  <x:tableStyleInfo name="TableStyleMedium2" showFirstColumn="0" showLastColumn="0" showRowStripes="1" showColumnStripes="0"/>
</x:table>
</file>

<file path=xl/tables/table3.xml><?xml version="1.0" encoding="utf-8"?>
<x:table xmlns:x="http://schemas.openxmlformats.org/spreadsheetml/2006/main" id="3" name="LoadbearinggapsTable" displayName="LoadbearinggapsTable" ref="A4:F13" headerRowCount="1" totalsRowCount="0" totalsRowShown="0">
  <x:tableColumns count="6">
    <x:tableColumn id="1" name="Gap ID"/>
    <x:tableColumn id="2" name="Profile ID"/>
    <x:tableColumn id="3" name="Empirical outcome still missing"/>
    <x:tableColumn id="4" name="Status"/>
    <x:tableColumn id="5" name="Why it remains open"/>
    <x:tableColumn id="6" name="Canonical context IDs"/>
  </x:tableColumns>
  <x:tableStyleInfo name="TableStyleMedium2" showFirstColumn="0" showLastColumn="0" showRowStripes="1" showColumnStripes="0"/>
</x:table>
</file>

<file path=xl/tables/table4.xml><?xml version="1.0" encoding="utf-8"?>
<x:table xmlns:x="http://schemas.openxmlformats.org/spreadsheetml/2006/main" id="4" name="VariantsTable" displayName="VariantsTable" ref="A4:G12" headerRowCount="1" totalsRowCount="0" totalsRowShown="0">
  <x:tableColumns count="7">
    <x:tableColumn id="1" name="Profile ID"/>
    <x:tableColumn id="2" name="Dimension"/>
    <x:tableColumn id="3" name="Variant type"/>
    <x:tableColumn id="4" name="Recommended interval"/>
    <x:tableColumn id="5" name="Scope question for later work"/>
    <x:tableColumn id="6" name="Technical constraint"/>
    <x:tableColumn id="7" name="Canonical source IDs"/>
  </x:tableColumns>
  <x:tableStyleInfo name="TableStyleMedium2" showFirstColumn="0" showLastColumn="0" showRowStripes="1" showColumnStripes="0"/>
</x:table>
</file>

<file path=xl/tables/table5.xml><?xml version="1.0" encoding="utf-8"?>
<x:table xmlns:x="http://schemas.openxmlformats.org/spreadsheetml/2006/main" id="5" name="OwnerexceptionsTable" displayName="OwnerexceptionsTable" ref="A4:I31" headerRowCount="1" totalsRowCount="0" totalsRowShown="0">
  <x:tableColumns count="9">
    <x:tableColumn id="1" name="Profile ID"/>
    <x:tableColumn id="2" name="Dimension"/>
    <x:tableColumn id="3" name="Recommended interval"/>
    <x:tableColumn id="4" name="Disposition"/>
    <x:tableColumn id="5" name="Preserved owner disposition"/>
    <x:tableColumn id="6" name="Owner rationale (verbatim)"/>
    <x:tableColumn id="7" name="Question / action"/>
    <x:tableColumn id="8" name="Reason"/>
    <x:tableColumn id="9" name="Canonical source IDs"/>
  </x:tableColumns>
  <x:tableStyleInfo name="TableStyleMedium2" showFirstColumn="0" showLastColumn="0" showRowStripes="1" showColumnStripes="0"/>
</x:table>
</file>

<file path=xl/tables/table6.xml><?xml version="1.0" encoding="utf-8"?>
<x:table xmlns:x="http://schemas.openxmlformats.org/spreadsheetml/2006/main" id="6" name="HumanexpertsTable" displayName="HumanexpertsTable" ref="A4:H23" headerRowCount="1" totalsRowCount="0" totalsRowShown="0">
  <x:tableColumns count="8">
    <x:tableColumn id="1" name="Profile ID"/>
    <x:tableColumn id="2" name="Dimension"/>
    <x:tableColumn id="3" name="Question for named specialist"/>
    <x:tableColumn id="4" name="Why load-bearing"/>
    <x:tableColumn id="5" name="Canonical source IDs"/>
    <x:tableColumn id="6" name="Requested expertise"/>
    <x:tableColumn id="7" name="Named reviewer"/>
    <x:tableColumn id="8" name="Status"/>
  </x:tableColumns>
  <x:tableStyleInfo name="TableStyleMedium2" showFirstColumn="0" showLastColumn="0" showRowStripes="1" showColumnStripes="0"/>
</x:table>
</file>

<file path=xl/tables/table7.xml><?xml version="1.0" encoding="utf-8"?>
<x:table xmlns:x="http://schemas.openxmlformats.org/spreadsheetml/2006/main" id="7" name="PreservedrecordTable" displayName="PreservedrecordTable" ref="A4:O94" headerRowCount="1" totalsRowCount="0" totalsRowShown="0">
  <x:tableColumns count="15">
    <x:tableColumn id="1" name="Profile ID"/>
    <x:tableColumn id="2" name="Dimension"/>
    <x:tableColumn id="3" name="Seed review ID"/>
    <x:tableColumn id="4" name="Independent review ID"/>
    <x:tableColumn id="5" name="Seed source IDs"/>
    <x:tableColumn id="6" name="Independent source IDs"/>
    <x:tableColumn id="7" name="Owner exception ID"/>
    <x:tableColumn id="8" name="Owner disposition"/>
    <x:tableColumn id="9" name="Owner rationale (verbatim)"/>
    <x:tableColumn id="10" name="Owner selected S value"/>
    <x:tableColumn id="11" name="Owner decision state"/>
    <x:tableColumn id="12" name="Seed rationale (verbatim)"/>
    <x:tableColumn id="13" name="Independent rationale (verbatim)"/>
    <x:tableColumn id="14" name="Comparison status"/>
    <x:tableColumn id="15" name="Existing S5 backlog status"/>
  </x:tableColumns>
  <x:tableStyleInfo name="TableStyleMedium2" showFirstColumn="0" showLastColumn="0" showRowStripes="1" showColumnStripes="0"/>
</x:table>
</file>

<file path=xl/tables/table8.xml><?xml version="1.0" encoding="utf-8"?>
<x:table xmlns:x="http://schemas.openxmlformats.org/spreadsheetml/2006/main" id="8" name="SourcesTable" displayName="SourcesTable" ref="A4:H34" headerRowCount="1" totalsRowCount="0" totalsRowShown="0">
  <x:tableColumns count="8">
    <x:tableColumn id="1" name="Canonical source ID"/>
    <x:tableColumn id="2" name="Title"/>
    <x:tableColumn id="3" name="Primary / publisher URL"/>
    <x:tableColumn id="4" name="Independent-validation status"/>
    <x:tableColumn id="5" name="Evidence basis (bank)"/>
    <x:tableColumn id="6" name="Last verified"/>
    <x:tableColumn id="7" name="Source limitation"/>
    <x:tableColumn id="8" name="Promotion use restric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67f9f795ee4f48" /></Relationships>
</file>

<file path=xl/worksheets/_rels/sheet3.xml.rels>&#65279;<?xml version="1.0" encoding="utf-8"?><Relationships xmlns="http://schemas.openxmlformats.org/package/2006/relationships"><Relationship Type="http://schemas.openxmlformats.org/officeDocument/2006/relationships/table" Target="/xl/tables/table2.xml" Id="R07a2df19b838471f" /></Relationships>
</file>

<file path=xl/worksheets/_rels/sheet4.xml.rels>&#65279;<?xml version="1.0" encoding="utf-8"?><Relationships xmlns="http://schemas.openxmlformats.org/package/2006/relationships"><Relationship Type="http://schemas.openxmlformats.org/officeDocument/2006/relationships/table" Target="/xl/tables/table3.xml" Id="R272d993aeaec4fb8" /></Relationships>
</file>

<file path=xl/worksheets/_rels/sheet5.xml.rels>&#65279;<?xml version="1.0" encoding="utf-8"?><Relationships xmlns="http://schemas.openxmlformats.org/package/2006/relationships"><Relationship Type="http://schemas.openxmlformats.org/officeDocument/2006/relationships/table" Target="/xl/tables/table4.xml" Id="Re686feb0cd384969" /></Relationships>
</file>

<file path=xl/worksheets/_rels/sheet6.xml.rels>&#65279;<?xml version="1.0" encoding="utf-8"?><Relationships xmlns="http://schemas.openxmlformats.org/package/2006/relationships"><Relationship Type="http://schemas.openxmlformats.org/officeDocument/2006/relationships/table" Target="/xl/tables/table5.xml" Id="R0b068e4665ab4266" /></Relationships>
</file>

<file path=xl/worksheets/_rels/sheet7.xml.rels>&#65279;<?xml version="1.0" encoding="utf-8"?><Relationships xmlns="http://schemas.openxmlformats.org/package/2006/relationships"><Relationship Type="http://schemas.openxmlformats.org/officeDocument/2006/relationships/table" Target="/xl/tables/table6.xml" Id="R97891c01a6964ade" /></Relationships>
</file>

<file path=xl/worksheets/_rels/sheet8.xml.rels>&#65279;<?xml version="1.0" encoding="utf-8"?><Relationships xmlns="http://schemas.openxmlformats.org/package/2006/relationships"><Relationship Type="http://schemas.openxmlformats.org/officeDocument/2006/relationships/table" Target="/xl/tables/table7.xml" Id="R3c032d33a515483a" /></Relationships>
</file>

<file path=xl/worksheets/_rels/sheet9.xml.rels>&#65279;<?xml version="1.0" encoding="utf-8"?><Relationships xmlns="http://schemas.openxmlformats.org/package/2006/relationships"><Relationship Type="http://schemas.openxmlformats.org/officeDocument/2006/relationships/table" Target="/xl/tables/table8.xml" Id="R7519c5bc59404bbe" /></Relationships>
</file>

<file path=xl/worksheets/sheet1.xml><?xml version="1.0" encoding="utf-8"?>
<x:worksheet xmlns:x="http://schemas.openxmlformats.org/spreadsheetml/2006/main">
  <x:sheetViews>
    <x:sheetView showGridLines="0" workbookViewId="0"/>
  </x:sheetViews>
  <x:sheetFormatPr defaultRowHeight="15"/>
  <x:cols>
    <x:col min="1" max="1" width="45" hidden="0" customWidth="1"/>
    <x:col min="2" max="2" width="17" hidden="0" customWidth="1"/>
    <x:col min="3" max="3" width="96" hidden="0" customWidth="1"/>
  </x:cols>
  <x:sheetData>
    <x:row r="1" ht="42" customHeight="1">
      <x:c r="A1" s="14" t="str">
        <x:v>Fusion | technical domain review</x:v>
      </x:c>
      <x:c r="B1" s="14"/>
      <x:c r="C1" s="14"/>
    </x:row>
    <x:row r="2" ht="31" customHeight="1">
      <x:c r="A2" s="16" t="str">
        <x:v>MODEL_DOMAIN_SYNTHESIS · AI-assisted recommendations · no named human sign-off · no profile approval</x:v>
      </x:c>
      <x:c r="B2" s="16"/>
      <x:c r="C2" s="16"/>
    </x:row>
    <x:row r="3">
      <x:c r="A3" s="3"/>
      <x:c r="B3" s="3"/>
      <x:c r="C3" s="3"/>
    </x:row>
    <x:row r="4" ht="32" customHeight="1">
      <x:c r="A4" s="3" t="str">
        <x:v>Profiles reviewed</x:v>
      </x:c>
      <x:c r="B4" s="20" t="n">
        <x:f>COUNTA('Profile review'!A5:A22)</x:f>
        <x:v>18</x:v>
      </x:c>
      <x:c r="C4" s="3" t="str">
        <x:v>Exactly 18 frozen tokamak profiles.</x:v>
      </x:c>
    </x:row>
    <x:row r="5" ht="32" customHeight="1">
      <x:c r="A5" s="3" t="str">
        <x:v>Dimension reviews</x:v>
      </x:c>
      <x:c r="B5" s="20" t="n">
        <x:f>COUNTA('Dimension review'!A5:A94)</x:f>
        <x:v>90</x:v>
      </x:c>
      <x:c r="C5" s="3" t="str">
        <x:v>Each of S1-S5 reviewed separately; no composite.</x:v>
      </x:c>
    </x:row>
    <x:row r="6" ht="32" customHeight="1">
      <x:c r="A6" s="3" t="str">
        <x:v>Load-bearing gaps still open</x:v>
      </x:c>
      <x:c r="B6" s="20" t="n">
        <x:f>COUNTIF('Load-bearing gaps'!D5:D13,"open")</x:f>
        <x:v>9</x:v>
      </x:c>
      <x:c r="C6" s="3" t="str">
        <x:v>Source identity does not close missing empirical outcomes.</x:v>
      </x:c>
    </x:row>
    <x:row r="7" ht="32" customHeight="1">
      <x:c r="A7" s="3" t="str">
        <x:v>Range-form recommendations</x:v>
      </x:c>
      <x:c r="B7" s="20" t="n">
        <x:f>COUNTIF('Dimension review'!J5:J94,"range")</x:f>
        <x:v>33</x:v>
      </x:c>
      <x:c r="C7" s="3" t="str">
        <x:v>Includes ranges routed to experts, evidence gaps and variants.</x:v>
      </x:c>
    </x:row>
    <x:row r="8" ht="32" customHeight="1">
      <x:c r="A8" s="3" t="str">
        <x:v>Named-specialist questions</x:v>
      </x:c>
      <x:c r="B8" s="20" t="n">
        <x:f>COUNTA('Human experts'!A5:A23)</x:f>
        <x:v>19</x:v>
      </x:c>
      <x:c r="C8" s="3" t="str">
        <x:v>A targeted gate, not a claim that other cells are approved.</x:v>
      </x:c>
    </x:row>
    <x:row r="9" ht="32" customHeight="1">
      <x:c r="A9" s="3" t="str">
        <x:v>Owner exceptions</x:v>
      </x:c>
      <x:c r="B9" s="20" t="n">
        <x:f>COUNTA('Owner exceptions'!A5:A31)</x:f>
        <x:v>27</x:v>
      </x:c>
      <x:c r="C9" s="3" t="str">
        <x:v>Exception view only; no need to re-review all 90 cells.</x:v>
      </x:c>
    </x:row>
    <x:row r="10">
      <x:c r="A10" s="3"/>
      <x:c r="B10" s="21"/>
      <x:c r="C10" s="3"/>
    </x:row>
    <x:row r="11" ht="27" customHeight="1">
      <x:c r="A11" s="8" t="str">
        <x:v>Disposition (one per cell)</x:v>
      </x:c>
      <x:c r="B11" s="22" t="str">
        <x:v>Count</x:v>
      </x:c>
      <x:c r="C11" s="8" t="str">
        <x:v>Meaning</x:v>
      </x:c>
    </x:row>
    <x:row r="12" ht="34" customHeight="1">
      <x:c r="A12" s="3" t="str">
        <x:v>supports_current_record</x:v>
      </x:c>
      <x:c r="B12" s="21" t="n">
        <x:f>COUNTIF('Dimension review'!L5:L94,A12)</x:f>
        <x:v>46</x:v>
      </x:c>
      <x:c r="C12" s="3" t="str">
        <x:v>Supports coder agreement or an owner preference; does not approve the cell.</x:v>
      </x:c>
    </x:row>
    <x:row r="13" ht="34" customHeight="1">
      <x:c r="A13" s="3" t="str">
        <x:v>recommends_value_change</x:v>
      </x:c>
      <x:c r="B13" s="21" t="n">
        <x:f>COUNTIF('Dimension review'!L5:L94,A13)</x:f>
        <x:v>3</x:v>
      </x:c>
      <x:c r="C13" s="3" t="str">
        <x:v>Prefers one submitted mark over another; no production S value changed.</x:v>
      </x:c>
    </x:row>
    <x:row r="14" ht="34" customHeight="1">
      <x:c r="A14" s="3" t="str">
        <x:v>recommends_range</x:v>
      </x:c>
      <x:c r="B14" s="21" t="n">
        <x:f>COUNTIF('Dimension review'!L5:L94,A14)</x:f>
        <x:v>13</x:v>
      </x:c>
      <x:c r="C14" s="3" t="str">
        <x:v>Routine dimension-specific range; no midpoint or weighted combination.</x:v>
      </x:c>
    </x:row>
    <x:row r="15" ht="34" customHeight="1">
      <x:c r="A15" s="3" t="str">
        <x:v>insufficient_evidence</x:v>
      </x:c>
      <x:c r="B15" s="21" t="n">
        <x:f>COUNTIF('Dimension review'!L5:L94,A15)</x:f>
        <x:v>6</x:v>
      </x:c>
      <x:c r="C15" s="3" t="str">
        <x:v>Candidate value/range only; decisive empirical support remains missing.</x:v>
      </x:c>
    </x:row>
    <x:row r="16" ht="34" customHeight="1">
      <x:c r="A16" s="3" t="str">
        <x:v>requires_human_expert</x:v>
      </x:c>
      <x:c r="B16" s="21" t="n">
        <x:f>COUNTIF('Dimension review'!L5:L94,A16)</x:f>
        <x:v>14</x:v>
      </x:c>
      <x:c r="C16" s="3" t="str">
        <x:v>Named specialist must resolve a load-bearing technical interpretation.</x:v>
      </x:c>
    </x:row>
    <x:row r="17" ht="34" customHeight="1">
      <x:c r="A17" s="3" t="str">
        <x:v>requires_pathway_variant</x:v>
      </x:c>
      <x:c r="B17" s="21" t="n">
        <x:f>COUNTIF('Dimension review'!L5:L94,A17)</x:f>
        <x:v>6</x:v>
      </x:c>
      <x:c r="C17" s="3" t="str">
        <x:v>Material, technology or site-specific technical scope is needed.</x:v>
      </x:c>
    </x:row>
    <x:row r="18" ht="34" customHeight="1">
      <x:c r="A18" s="3" t="str">
        <x:v>requires_jurisdiction_variant</x:v>
      </x:c>
      <x:c r="B18" s="21" t="n">
        <x:f>COUNTIF('Dimension review'!L5:L94,A18)</x:f>
        <x:v>2</x:v>
      </x:c>
      <x:c r="C18" s="3" t="str">
        <x:v>Licensing process cannot be assigned a jurisdiction-free performance value.</x:v>
      </x:c>
    </x:row>
    <x:row r="19">
      <x:c r="A19" s="3"/>
      <x:c r="B19" s="21"/>
      <x:c r="C19" s="3"/>
    </x:row>
    <x:row r="20" ht="34" customHeight="1">
      <x:c r="A20" s="8" t="str">
        <x:v>Recommendation confidence</x:v>
      </x:c>
      <x:c r="B20" s="22" t="str">
        <x:v>Count</x:v>
      </x:c>
      <x:c r="C20" s="8" t="str">
        <x:v>Confidence in bounded rubric application, not empirical outcome success.</x:v>
      </x:c>
    </x:row>
    <x:row r="21" ht="32" customHeight="1">
      <x:c r="A21" s="3" t="str">
        <x:v>high</x:v>
      </x:c>
      <x:c r="B21" s="21" t="n">
        <x:f>COUNTIF('Dimension review'!K5:K94,A21)</x:f>
        <x:v>12</x:v>
      </x:c>
      <x:c r="C21" s="3" t="str">
        <x:v>Clear frozen-stage interpretation; empirical gaps can still remain.</x:v>
      </x:c>
    </x:row>
    <x:row r="22" ht="32" customHeight="1">
      <x:c r="A22" s="3" t="str">
        <x:v>medium</x:v>
      </x:c>
      <x:c r="B22" s="21" t="n">
        <x:f>COUNTIF('Dimension review'!K5:K94,A22)</x:f>
        <x:v>27</x:v>
      </x:c>
      <x:c r="C22" s="3" t="str">
        <x:v>Defensible structural interpretation with bounded transfer limits.</x:v>
      </x:c>
    </x:row>
    <x:row r="23" ht="32" customHeight="1">
      <x:c r="A23" s="3" t="str">
        <x:v>low</x:v>
      </x:c>
      <x:c r="B23" s="21" t="n">
        <x:f>COUNTIF('Dimension review'!K5:K94,A23)</x:f>
        <x:v>51</x:v>
      </x:c>
      <x:c r="C23" s="3" t="str">
        <x:v>Sparse/adjacent evidence, uncertain ordinary cycle or unverified assurance boundary.</x:v>
      </x:c>
    </x:row>
    <x:row r="24">
      <x:c r="A24" s="3"/>
      <x:c r="B24" s="3"/>
      <x:c r="C24" s="3"/>
    </x:row>
    <x:row r="25" ht="61" customHeight="1">
      <x:c r="A25" s="19" t="str">
        <x:v>Review provenance</x:v>
      </x:c>
      <x:c r="B25" s="3" t="str">
        <x:v>Codex Desktop; gpt-5.6-sol; xhigh (Extra High); runtime 0.151.0-alpha.7.2. Model/effort confirmed in local turn_context metadata; no human fusion-expert identity claimed.</x:v>
      </x:c>
      <x:c r="C25" s="3"/>
    </x:row>
    <x:row r="26" ht="61" customHeight="1">
      <x:c r="A26" s="19" t="str">
        <x:v>Evidence vintage</x:v>
      </x:c>
      <x:c r="B26" s="3" t="str">
        <x:v>2026-08-31 reviewed evidence bank; review date 2026-09-01. Use only promoted canonical fusion source identities. No new literature search.</x:v>
      </x:c>
      <x:c r="C26" s="3"/>
    </x:row>
    <x:row r="27" ht="49" customHeight="1">
      <x:c r="A27" s="19" t="str">
        <x:v>Merge gate</x:v>
      </x:c>
      <x:c r="B27" s="3" t="str">
        <x:v>PR #38 merged 2026-08-31T18:10:39Z. Base a85267ce3a0c6ec598554e45b9bc4a82a74f9e95 contains required head 3c8987175f6975347cc01a768c21d3386ff27cd6.</x:v>
      </x:c>
      <x:c r="C27" s="3"/>
    </x:row>
    <x:row r="28" ht="61" customHeight="1">
      <x:c r="A28" s="19" t="str">
        <x:v>Candidate numbers</x:v>
      </x:c>
      <x:c r="B28" s="3" t="str">
        <x:v>Ordinal qualitative recommendations for later adjudication, including provisional carry-forward intervals where evidence is insufficient. They are not measured rates, empirical uncertainty bounds or selected S values.</x:v>
      </x:c>
      <x:c r="C28" s="3"/>
    </x:row>
    <x:row r="29" ht="61" customHeight="1">
      <x:c r="A29" s="19" t="str">
        <x:v>S5 boundary</x:v>
      </x:c>
      <x:c r="B29" s="3" t="str">
        <x:v>Each S5 row names the assumed next independent assurance/control boundary. No source establishes a complete pilot assurance architecture. Do not count remote cascades or double-charge harms past an independent boundary.</x:v>
      </x:c>
      <x:c r="C29" s="3"/>
    </x:row>
    <x:row r="30" ht="61" customHeight="1">
      <x:c r="A30" s="19" t="str">
        <x:v>No approval</x:v>
      </x:c>
      <x:c r="B30" s="3" t="str">
        <x:v>All recommendations remain recommendation_only. Named reviewers are missing. No canonical source, raw submission, owner decision, existing S5 backlog or production data is changed.</x:v>
      </x:c>
      <x:c r="C30" s="3"/>
    </x:row>
    <x:row r="31" ht="61" customHeight="1">
      <x:c r="A31" s="19" t="str">
        <x:v>Next gate</x:v>
      </x:c>
      <x:c r="B31" s="3" t="str">
        <x:v>One substantive PM review and one correction pass, then merge this package. Separate 19-row targeted S5 adjudication follows later; WP2 remains out of scope.</x:v>
      </x:c>
      <x:c r="C31" s="3"/>
    </x:row>
    <x:row r="32" ht="61" customHeight="1">
      <x:c r="A32" s="19" t="str">
        <x:v>Navigation</x:v>
      </x:c>
      <x:c r="B32" s="3" t="str">
        <x:v>Start with Owner exceptions and Human experts. Profile review summarizes 18 rows; Dimension review contains all 90 detailed assessments. Preserved record retains original rationales. Sources retains use restrictions.</x:v>
      </x:c>
      <x:c r="C32" s="3"/>
    </x:row>
    <x:row r="33" ht="61" customHeight="1">
      <x:c r="A33" s="19" t="str">
        <x:v>Excluded evidence</x:v>
      </x:c>
      <x:c r="B33" s="3" t="str">
        <x:v>fusion-src-013 and fusion-src-015 remain excluded. No STEP current target wording is used as load-bearing evidence; its failed-refresh restriction survives. No translated quotation or legal interpretation is approved.</x:v>
      </x:c>
      <x:c r="C33" s="3"/>
    </x:row>
    <x:row r="34">
      <x:c r="A34" s="3"/>
      <x:c r="B34" s="3"/>
      <x:c r="C34" s="3"/>
    </x:row>
    <x:row r="35">
      <x:c r="A35" s="3"/>
      <x:c r="B35" s="3"/>
      <x:c r="C35" s="3"/>
    </x:row>
    <x:row r="36">
      <x:c r="A36" s="3"/>
      <x:c r="B36" s="3"/>
      <x:c r="C36" s="3"/>
    </x:row>
    <x:row r="37">
      <x:c r="A37" s="3"/>
      <x:c r="B37" s="3"/>
      <x:c r="C37" s="3"/>
    </x:row>
    <x:row r="38">
      <x:c r="A38" s="3"/>
      <x:c r="B38" s="3"/>
      <x:c r="C38" s="3"/>
    </x:row>
    <x:row r="39">
      <x:c r="A39" s="3"/>
      <x:c r="B39" s="3"/>
      <x:c r="C39" s="3"/>
    </x:row>
    <x:row r="40">
      <x:c r="A40" s="3"/>
      <x:c r="B40" s="3"/>
      <x:c r="C40" s="3"/>
    </x:row>
    <x:row r="41">
      <x:c r="A41" s="3"/>
      <x:c r="B41" s="3"/>
      <x:c r="C41" s="3"/>
    </x:row>
  </x:sheetData>
  <x:mergeCells>
    <x:mergeCell ref="A1:C1"/>
    <x:mergeCell ref="A2:C2"/>
    <x:mergeCell ref="B25:C25"/>
    <x:mergeCell ref="B26:C26"/>
    <x:mergeCell ref="B27:C27"/>
    <x:mergeCell ref="B28:C28"/>
    <x:mergeCell ref="B29:C29"/>
    <x:mergeCell ref="B30:C30"/>
    <x:mergeCell ref="B31:C31"/>
    <x:mergeCell ref="B32:C32"/>
    <x:mergeCell ref="B33:C3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18" hidden="0" customWidth="1"/>
    <x:col min="4" max="4" width="94" hidden="0" customWidth="1"/>
    <x:col min="5" max="5" width="60" hidden="0" customWidth="1"/>
    <x:col min="6" max="6" width="60" hidden="0" customWidth="1"/>
    <x:col min="7" max="7" width="60" hidden="0" customWidth="1"/>
    <x:col min="8" max="8" width="60" hidden="0" customWidth="1"/>
    <x:col min="9" max="9" width="60" hidden="0" customWidth="1"/>
    <x:col min="10" max="10" width="17" hidden="0" customWidth="1"/>
    <x:col min="11" max="11" width="87" hidden="0" customWidth="1"/>
    <x:col min="12" max="12" width="39" hidden="0" customWidth="1"/>
    <x:col min="13" max="13" width="48" hidden="0" customWidth="1"/>
    <x:col min="14" max="14" width="85" hidden="0" customWidth="1"/>
    <x:col min="15" max="15" width="18" hidden="0" customWidth="1"/>
  </x:cols>
  <x:sheetData>
    <x:row r="1" ht="54" customHeight="1">
      <x:c r="A1" s="5" t="str">
        <x:v>Fusion | 18 profiles</x:v>
      </x:c>
      <x:c r="B1" s="5"/>
      <x:c r="C1" s="5"/>
      <x:c r="D1" s="5"/>
      <x:c r="E1" s="5"/>
      <x:c r="F1" s="5"/>
      <x:c r="G1" s="5"/>
      <x:c r="H1" s="5"/>
      <x:c r="I1" s="5"/>
      <x:c r="J1" s="5"/>
      <x:c r="K1" s="5"/>
      <x:c r="L1" s="5"/>
      <x:c r="M1" s="5"/>
      <x:c r="N1" s="5"/>
      <x:c r="O1" s="5"/>
    </x:row>
    <x:row r="2" ht="43" customHeight="1">
      <x:c r="A2" s="6" t="str">
        <x:v>AI-assisted · recommendation only. Details extend to the right.</x:v>
      </x:c>
      <x:c r="B2" s="6"/>
      <x:c r="C2" s="6"/>
      <x:c r="D2" s="6"/>
      <x:c r="E2" s="6"/>
      <x:c r="F2" s="6"/>
      <x:c r="G2" s="6"/>
      <x:c r="H2" s="6"/>
      <x:c r="I2" s="6"/>
      <x:c r="J2" s="6"/>
      <x:c r="K2" s="6"/>
      <x:c r="L2" s="6"/>
      <x:c r="M2" s="6"/>
      <x:c r="N2" s="6"/>
      <x:c r="O2" s="6"/>
    </x:row>
    <x:row r="3">
      <x:c r="A3" s="3"/>
      <x:c r="B3" s="3"/>
      <x:c r="C3" s="3"/>
      <x:c r="D3" s="3"/>
      <x:c r="E3" s="3"/>
      <x:c r="F3" s="3"/>
      <x:c r="G3" s="3"/>
      <x:c r="H3" s="3"/>
      <x:c r="I3" s="3"/>
      <x:c r="J3" s="3"/>
      <x:c r="K3" s="3"/>
      <x:c r="L3" s="3"/>
      <x:c r="M3" s="3"/>
      <x:c r="N3" s="3"/>
      <x:c r="O3" s="3"/>
    </x:row>
    <x:row r="4" ht="43" customHeight="1">
      <x:c r="A4" s="8" t="str">
        <x:v>Profile ID</x:v>
      </x:c>
      <x:c r="B4" s="8" t="str">
        <x:v>Workflow</x:v>
      </x:c>
      <x:c r="C4" s="8" t="str">
        <x:v>Lifecycle</x:v>
      </x:c>
      <x:c r="D4" s="8" t="str">
        <x:v>Frozen scope</x:v>
      </x:c>
      <x:c r="E4" s="8" t="str">
        <x:v>S1 assessment</x:v>
      </x:c>
      <x:c r="F4" s="8" t="str">
        <x:v>S2 assessment</x:v>
      </x:c>
      <x:c r="G4" s="8" t="str">
        <x:v>S3 assessment</x:v>
      </x:c>
      <x:c r="H4" s="8" t="str">
        <x:v>S4 assessment</x:v>
      </x:c>
      <x:c r="I4" s="8" t="str">
        <x:v>S5 assessment</x:v>
      </x:c>
      <x:c r="J4" s="8" t="str">
        <x:v>Open gap IDs</x:v>
      </x:c>
      <x:c r="K4" s="8" t="str">
        <x:v>Unresolved empirical gaps</x:v>
      </x:c>
      <x:c r="L4" s="8" t="str">
        <x:v>Canonical source IDs</x:v>
      </x:c>
      <x:c r="M4" s="8" t="str">
        <x:v>Pathway</x:v>
      </x:c>
      <x:c r="N4" s="8" t="str">
        <x:v>Application context</x:v>
      </x:c>
      <x:c r="O4" s="8" t="str">
        <x:v>Critical path role</x:v>
      </x:c>
    </x:row>
    <x:row r="5" ht="92" customHeight="1">
      <x:c r="A5" s="9" t="str">
        <x:v>sp-0014</x:v>
      </x:c>
      <x:c r="B5" s="9" t="str">
        <x:v>Theory and system design</x:v>
      </x:c>
      <x:c r="C5" s="9" t="str">
        <x:v>research</x:v>
      </x:c>
      <x:c r="D5" s="9" t="str">
        <x:v>Includes tokamak theory, system requirements, architecture, and pilot-plant design trade-offs under the frozen pathway. Excludes detailed subsystem engineering, component fabrication, construction, and commissioning.</x:v>
      </x:c>
      <x:c r="E5" s="9" t="str">
        <x:v>4 | high
supports_current_record
Both submissions correctly isolate analytical system design.</x:v>
      </x:c>
      <x:c r="F5" s="9" t="str">
        <x:v>2-3 | low
recommends_range
Retain the 2-3 disagreement rather than deriving cadence from programme dates.</x:v>
      </x:c>
      <x:c r="G5" s="9" t="str">
        <x:v>3 | medium
supports_current_record
3 is a qualitative intermediate judgment about cheap analysis with constrained decisive throughput.</x:v>
      </x:c>
      <x:c r="H5" s="9" t="str">
        <x:v>4 | high
supports_current_record
Both 4s remain defensible under the frozen exclusion boundary.</x:v>
      </x:c>
      <x:c r="I5" s="9" t="str">
        <x:v>2-3 | low
recommends_range
A bounded 2-3 recommendation preserves uncertainty about reversible but potentially material engineering rework.</x:v>
      </x:c>
      <x:c r="J5" s="9" t="str">
        <x:v>none</x:v>
      </x:c>
      <x:c r="K5" s="9" t="str">
        <x:v>No additional named gap; cell-specific evidence limits remain.</x:v>
      </x:c>
      <x:c r="L5" s="9" t="str">
        <x:v>fusion-src-023;fusion-src-024;fusion-src-028</x:v>
      </x:c>
      <x:c r="M5" s="9" t="str">
        <x:v>tokamak_research_to_pilot_plant_demonstration</x:v>
      </x:c>
      <x:c r="N5" s="9" t="str">
        <x:v>Tokamak research through component and subsystem development, materials qualification, facility build, commissioning, integrated demonstration, and pilot-plant readiness</x:v>
      </x:c>
      <x:c r="O5" s="9" t="str">
        <x:v>not_assessed</x:v>
      </x:c>
    </x:row>
    <x:row r="6" ht="76" customHeight="1">
      <x:c r="A6" s="3" t="str">
        <x:v>sp-0015</x:v>
      </x:c>
      <x:c r="B6" s="3" t="str">
        <x:v>Simulation</x:v>
      </x:c>
      <x:c r="C6" s="3" t="str">
        <x:v>research</x:v>
      </x:c>
      <x:c r="D6" s="3" t="str">
        <x:v>Includes computational modelling and simulation of plasma, components, or integrated tokamak behaviour for research and experiment support. Excludes physical experiment execution, diagnostics operation, and component fabrication.</x:v>
      </x:c>
      <x:c r="E6" s="3" t="str">
        <x:v>4 | high
supports_current_record
The evidence supports informational work without implying predictive sufficiency.</x:v>
      </x:c>
      <x:c r="F6" s="3" t="str">
        <x:v>3 | medium
supports_current_record
Retain 3 provisionally: fast repeated runs coexist with slower model development.</x:v>
      </x:c>
      <x:c r="G6" s="3" t="str">
        <x:v>3 | medium
supports_current_record
Both coders distinguish repeated computation from scarce high-fidelity work.</x:v>
      </x:c>
      <x:c r="H6" s="3" t="str">
        <x:v>4 | high
supports_current_record
No physical-process floor belongs in simulation S4 under this scope.</x:v>
      </x:c>
      <x:c r="I6" s="3" t="str">
        <x:v>3 | medium
recommends_value_change
Prefer 3 over seed 4 under the bounded escaped-output rule; this is a later S5 recommendation only.</x:v>
      </x:c>
      <x:c r="J6" s="3" t="str">
        <x:v>none</x:v>
      </x:c>
      <x:c r="K6" s="3" t="str">
        <x:v>No additional named gap; cell-specific evidence limits remain.</x:v>
      </x:c>
      <x:c r="L6" s="3" t="str">
        <x:v>fusion-src-007;fusion-src-022;fusion-src-023;fusion-src-024</x:v>
      </x:c>
      <x:c r="M6" s="3" t="str">
        <x:v>tokamak_research_to_pilot_plant_demonstration</x:v>
      </x:c>
      <x:c r="N6" s="3" t="str">
        <x:v>Tokamak research through component and subsystem development, materials qualification, facility build, commissioning, integrated demonstration, and pilot-plant readiness</x:v>
      </x:c>
      <x:c r="O6" s="3" t="str">
        <x:v>not_assessed</x:v>
      </x:c>
    </x:row>
    <x:row r="7" ht="76" customHeight="1">
      <x:c r="A7" s="9" t="str">
        <x:v>sp-0016</x:v>
      </x:c>
      <x:c r="B7" s="9" t="str">
        <x:v>Experiment selection</x:v>
      </x:c>
      <x:c r="C7" s="9" t="str">
        <x:v>research</x:v>
      </x:c>
      <x:c r="D7" s="9" t="str">
        <x:v>Includes selecting, prioritising, and sequencing tokamak experiments against stated research or pilot-development objectives. Excludes executing experiments, collecting diagnostics, and operating plasma controls.</x:v>
      </x:c>
      <x:c r="E7" s="9" t="str">
        <x:v>4 | high
supports_current_record
Information intensity is defensible from scope despite the selection-outcome gap.</x:v>
      </x:c>
      <x:c r="F7" s="9" t="str">
        <x:v>1-2 | low
requires_human_expert
Recommend 1-2 for later adjudication while asking a campaign specialist to identify the ordinary loop.</x:v>
      </x:c>
      <x:c r="G7" s="9" t="str">
        <x:v>2 | medium
supports_current_record
Owner preference for independent 2 handles the cost-throughput divergence.</x:v>
      </x:c>
      <x:c r="H7" s="9" t="str">
        <x:v>4 | high
supports_current_record
Support the owner preference for 4; do not manufacture closure of the empirical selection gap.</x:v>
      </x:c>
      <x:c r="I7" s="9" t="str">
        <x:v>2 | medium
supports_current_record
Material lost experimental opportunity supports 2 under the stated boundary assumption.</x:v>
      </x:c>
      <x:c r="J7" s="9" t="str">
        <x:v>gap-01</x:v>
      </x:c>
      <x:c r="K7" s="9" t="str">
        <x:v>No elapsed or costly selection-loop reduction study in the canonical set.</x:v>
      </x:c>
      <x:c r="L7" s="9" t="str">
        <x:v>fusion-src-018;fusion-src-019;fusion-src-024</x:v>
      </x:c>
      <x:c r="M7" s="9" t="str">
        <x:v>tokamak_research_to_pilot_plant_demonstration</x:v>
      </x:c>
      <x:c r="N7" s="9" t="str">
        <x:v>Tokamak research through component and subsystem development, materials qualification, facility build, commissioning, integrated demonstration, and pilot-plant readiness</x:v>
      </x:c>
      <x:c r="O7" s="9" t="str">
        <x:v>not_assessed</x:v>
      </x:c>
    </x:row>
    <x:row r="8" ht="92" customHeight="1">
      <x:c r="A8" s="3" t="str">
        <x:v>sp-0017</x:v>
      </x:c>
      <x:c r="B8" s="3" t="str">
        <x:v>Diagnostics</x:v>
      </x:c>
      <x:c r="C8" s="3" t="str">
        <x:v>research</x:v>
      </x:c>
      <x:c r="D8" s="3" t="str">
        <x:v>Includes design, preparation, use, and interpretation of measurement systems for pilot-relevant tokamak experiments. Excludes plasma-control actuation and plant-subsystem fabrication or integration.</x:v>
      </x:c>
      <x:c r="E8" s="3" t="str">
        <x:v>2-3 | medium
recommends_range
Do not generalize information-rich diagnostic benchmarks to the entire measurement workflow.</x:v>
      </x:c>
      <x:c r="F8" s="3" t="str">
        <x:v>2 | low
insufficient_evidence
Keep 2 provisional; no stage-level cadence is measured by the cited benchmarks.</x:v>
      </x:c>
      <x:c r="G8" s="3" t="str">
        <x:v>1-2 | low
recommends_range
Retain cost-throughput divergence rather than reading dataset size as affordable experimentation.</x:v>
      </x:c>
      <x:c r="H8" s="3" t="str">
        <x:v>2 | medium
supports_current_record
Support 2 with a narrowed physical rationale, excluding generic shutdown scheduling.</x:v>
      </x:c>
      <x:c r="I8" s="3" t="str">
        <x:v>2 | medium
supports_current_record
Material data loss and bounded downstream misdirection are compatible with 2, not a universal safe-instrument claim.</x:v>
      </x:c>
      <x:c r="J8" s="3" t="str">
        <x:v>none</x:v>
      </x:c>
      <x:c r="K8" s="3" t="str">
        <x:v>No additional named gap; cell-specific evidence limits remain.</x:v>
      </x:c>
      <x:c r="L8" s="3" t="str">
        <x:v>fusion-src-008;fusion-src-009;fusion-src-020;fusion-src-021;fusion-src-029</x:v>
      </x:c>
      <x:c r="M8" s="3" t="str">
        <x:v>tokamak_research_to_pilot_plant_demonstration</x:v>
      </x:c>
      <x:c r="N8" s="3" t="str">
        <x:v>Tokamak research through component and subsystem development, materials qualification, facility build, commissioning, integrated demonstration, and pilot-plant readiness</x:v>
      </x:c>
      <x:c r="O8" s="3" t="str">
        <x:v>not_assessed</x:v>
      </x:c>
    </x:row>
    <x:row r="9" ht="92" customHeight="1">
      <x:c r="A9" s="9" t="str">
        <x:v>sp-0018</x:v>
      </x:c>
      <x:c r="B9" s="9" t="str">
        <x:v>Plasma control</x:v>
      </x:c>
      <x:c r="C9" s="9" t="str">
        <x:v>development</x:v>
      </x:c>
      <x:c r="D9" s="9" t="str">
        <x:v>Includes development, testing, and operation of control methods and systems used to shape, sustain, or terminate plasma in the frozen tokamak pathway. Excludes diagnostic measurement and broader plant-subsystem construction.</x:v>
      </x:c>
      <x:c r="E9" s="9" t="str">
        <x:v>2 | high
supports_current_record
Support the owner preference for independent 2.</x:v>
      </x:c>
      <x:c r="F9" s="9" t="str">
        <x:v>2 | medium
supports_current_record
Support owner 2 qualitatively; do not use controller frequency as S2=3 or 4 evidence.</x:v>
      </x:c>
      <x:c r="G9" s="9" t="str">
        <x:v>1-2 | medium
recommends_range
Broaden the shared 1 to 1-2 without averaging or declaring unlimited live throughput.</x:v>
      </x:c>
      <x:c r="H9" s="9" t="str">
        <x:v>2 | medium
supports_current_record
Keep 2 as a mixed-process judgment, with no intrinsic floor inferred from administrative campaign spacing.</x:v>
      </x:c>
      <x:c r="I9" s="9" t="str">
        <x:v>0-1 | low
requires_human_expert
Keep 1 as plausible for bounded research-device harm, but retain 0 as a severe direct-consequence possibility pending protection review.</x:v>
      </x:c>
      <x:c r="J9" s="9" t="str">
        <x:v>none</x:v>
      </x:c>
      <x:c r="K9" s="9" t="str">
        <x:v>No additional named gap; cell-specific evidence limits remain.</x:v>
      </x:c>
      <x:c r="L9" s="9" t="str">
        <x:v>fusion-src-007;fusion-src-008;fusion-src-017;fusion-src-018;fusion-src-019;fusion-src-020</x:v>
      </x:c>
      <x:c r="M9" s="9" t="str">
        <x:v>tokamak_research_to_pilot_plant_demonstration</x:v>
      </x:c>
      <x:c r="N9" s="9" t="str">
        <x:v>Tokamak research through component and subsystem development, materials qualification, facility build, commissioning, integrated demonstration, and pilot-plant readiness</x:v>
      </x:c>
      <x:c r="O9" s="9" t="str">
        <x:v>not_assessed</x:v>
      </x:c>
    </x:row>
    <x:row r="10" ht="76" customHeight="1">
      <x:c r="A10" s="3" t="str">
        <x:v>sp-0019</x:v>
      </x:c>
      <x:c r="B10" s="3" t="str">
        <x:v>Materials discovery and screening</x:v>
      </x:c>
      <x:c r="C10" s="3" t="str">
        <x:v>research</x:v>
      </x:c>
      <x:c r="D10" s="3" t="str">
        <x:v>Includes identifying and screening candidate materials for pilot-relevant tokamak conditions. Excludes formal qualification, component fabrication, and production-scale supply.</x:v>
      </x:c>
      <x:c r="E10" s="3" t="str">
        <x:v>2-3 | low
recommends_range
Preserve 2-3 rather than assuming computational screening dominates.</x:v>
      </x:c>
      <x:c r="F10" s="3" t="str">
        <x:v>2 | low
insufficient_evidence
Do not promote coder agreement into an observed cadence.</x:v>
      </x:c>
      <x:c r="G10" s="3" t="str">
        <x:v>2 | low
insufficient_evidence
Keep the repeatable-but-resource-consuming candidate value without inventing empirical throughput.</x:v>
      </x:c>
      <x:c r="H10" s="3" t="str">
        <x:v>2 | low
supports_current_record
2 remains a bounded mixed-process recommendation, not a measured time share.</x:v>
      </x:c>
      <x:c r="I10" s="3" t="str">
        <x:v>3 | low
supports_current_record
The shared intermediate 3 is reasonable for recoverable screening with opportunity losses.</x:v>
      </x:c>
      <x:c r="J10" s="3" t="str">
        <x:v>none</x:v>
      </x:c>
      <x:c r="K10" s="3" t="str">
        <x:v>No additional named gap; cell-specific evidence limits remain.</x:v>
      </x:c>
      <x:c r="L10" s="3" t="str">
        <x:v>fusion-src-027;fusion-src-028</x:v>
      </x:c>
      <x:c r="M10" s="3" t="str">
        <x:v>tokamak_research_to_pilot_plant_demonstration</x:v>
      </x:c>
      <x:c r="N10" s="3" t="str">
        <x:v>Tokamak research through component and subsystem development, materials qualification, facility build, commissioning, integrated demonstration, and pilot-plant readiness</x:v>
      </x:c>
      <x:c r="O10" s="3" t="str">
        <x:v>not_assessed</x:v>
      </x:c>
    </x:row>
    <x:row r="11" ht="92" customHeight="1">
      <x:c r="A11" s="9" t="str">
        <x:v>sp-0020</x:v>
      </x:c>
      <x:c r="B11" s="9" t="str">
        <x:v>Materials qualification</x:v>
      </x:c>
      <x:c r="C11" s="9" t="str">
        <x:v>qualification</x:v>
      </x:c>
      <x:c r="D11" s="9" t="str">
        <x:v>Includes testing and qualifying candidate materials against pilot-relevant loads, environments, and requirements. Excludes initial discovery and screening, component fabrication, and commercial-fleet qualification.</x:v>
      </x:c>
      <x:c r="E11" s="9" t="str">
        <x:v>0 | medium
recommends_value_change
Prefer independent 0 over seed 1 because the rubric says primarily physical, not exclusively physical.</x:v>
      </x:c>
      <x:c r="F11" s="9" t="str">
        <x:v>0 | medium
supports_current_record
Support the owner provisional 0 on improved source identity and technical grounds; completed accepted qualification remains missing.</x:v>
      </x:c>
      <x:c r="G11" s="9" t="str">
        <x:v>0-1 | low
requires_pathway_variant
Preserve 0-1 and route by material/load-envelope qualification pathway rather than claiming zero parallelism.</x:v>
      </x:c>
      <x:c r="H11" s="9" t="str">
        <x:v>0 | medium
supports_current_record
Support owner provisional 0 while preserving the missing accepted dataset.</x:v>
      </x:c>
      <x:c r="I11" s="9" t="str">
        <x:v>0-1 | low
requires_human_expert
A bounded 0-1 requires a qualification specialist to distinguish direct irreversible evidence loss from later independent acceptance failures.</x:v>
      </x:c>
      <x:c r="J11" s="9" t="str">
        <x:v>gap-02</x:v>
      </x:c>
      <x:c r="K11" s="9" t="str">
        <x:v>Planned IFMIF-DONES irradiation plus examination is not completed accepted qualification.</x:v>
      </x:c>
      <x:c r="L11" s="9" t="str">
        <x:v>fusion-src-026;fusion-src-045;fusion-src-046</x:v>
      </x:c>
      <x:c r="M11" s="9" t="str">
        <x:v>tokamak_research_to_pilot_plant_demonstration</x:v>
      </x:c>
      <x:c r="N11" s="9" t="str">
        <x:v>Tokamak research through component and subsystem development, materials qualification, facility build, commissioning, integrated demonstration, and pilot-plant readiness</x:v>
      </x:c>
      <x:c r="O11" s="9" t="str">
        <x:v>not_assessed</x:v>
      </x:c>
    </x:row>
    <x:row r="12" ht="76" customHeight="1">
      <x:c r="A12" s="3" t="str">
        <x:v>sp-0021</x:v>
      </x:c>
      <x:c r="B12" s="3" t="str">
        <x:v>Magnets</x:v>
      </x:c>
      <x:c r="C12" s="3" t="str">
        <x:v>development</x:v>
      </x:c>
      <x:c r="D12" s="3" t="str">
        <x:v>Includes pilot-relevant magnet design, engineering, testing, and pre-integration under the tokamak pathway. Excludes fabrication after design maturity, site construction, integrated commissioning, and commercial-fleet rollout.</x:v>
      </x:c>
      <x:c r="E12" s="3" t="str">
        <x:v>2 | medium
supports_current_record
Both coders correctly retain a mixed digital/physical 2.</x:v>
      </x:c>
      <x:c r="F12" s="3" t="str">
        <x:v>1-2 | low
requires_pathway_variant
Route 1-2 by magnet technology and test scale instead of treating the shared 1 as measured.</x:v>
      </x:c>
      <x:c r="G12" s="3" t="str">
        <x:v>1 | low
supports_current_record
Keep the low intermediate 1 qualitatively without repeating invented campaign rates or currency amounts.</x:v>
      </x:c>
      <x:c r="H12" s="3" t="str">
        <x:v>1-2 | low
recommends_range
Retain 1-2 because the decisive physical sequence varies with the magnet route.</x:v>
      </x:c>
      <x:c r="I12" s="3" t="str">
        <x:v>1 | low
supports_current_record
Keep low tolerance without assigning all future plant consequences to magnet development.</x:v>
      </x:c>
      <x:c r="J12" s="3" t="str">
        <x:v>none</x:v>
      </x:c>
      <x:c r="K12" s="3" t="str">
        <x:v>No additional named gap; cell-specific evidence limits remain.</x:v>
      </x:c>
      <x:c r="L12" s="3" t="str">
        <x:v>fusion-src-012;fusion-src-014</x:v>
      </x:c>
      <x:c r="M12" s="3" t="str">
        <x:v>tokamak_research_to_pilot_plant_demonstration</x:v>
      </x:c>
      <x:c r="N12" s="3" t="str">
        <x:v>Tokamak research through component and subsystem development, materials qualification, facility build, commissioning, integrated demonstration, and pilot-plant readiness</x:v>
      </x:c>
      <x:c r="O12" s="3" t="str">
        <x:v>not_assessed</x:v>
      </x:c>
    </x:row>
    <x:row r="13" ht="76" customHeight="1">
      <x:c r="A13" s="9" t="str">
        <x:v>sp-0022</x:v>
      </x:c>
      <x:c r="B13" s="9" t="str">
        <x:v>Heating and current drive</x:v>
      </x:c>
      <x:c r="C13" s="9" t="str">
        <x:v>development</x:v>
      </x:c>
      <x:c r="D13" s="9" t="str">
        <x:v>Includes pilot-relevant heating and current-drive design, engineering, testing, and pre-integration under the tokamak pathway. Excludes fabrication after design maturity, site construction, integrated commissioning, and commercial-fleet rollout.</x:v>
      </x:c>
      <x:c r="E13" s="9" t="str">
        <x:v>2 | medium
supports_current_record
The mixed 2 is defensible from scope, with limited direct development evidence.</x:v>
      </x:c>
      <x:c r="F13" s="9" t="str">
        <x:v>1-2 | low
requires_pathway_variant
Preserve 1-2 and request a route-specific cycle rather than selecting from adjacent project durations.</x:v>
      </x:c>
      <x:c r="G13" s="9" t="str">
        <x:v>1 | low
supports_current_record
Keep 1 as a low-confidence structural candidate, without claiming a few campaigns per year as fact.</x:v>
      </x:c>
      <x:c r="H13" s="9" t="str">
        <x:v>1-2 | low
recommends_range
1-2 preserves the uncertainty about physical delay versus analytical work.</x:v>
      </x:c>
      <x:c r="I13" s="9" t="str">
        <x:v>1 | low
supports_current_record
A low intermediate 1 remains defensible as a conditional structural recommendation.</x:v>
      </x:c>
      <x:c r="J13" s="9" t="str">
        <x:v>none</x:v>
      </x:c>
      <x:c r="K13" s="9" t="str">
        <x:v>No additional named gap; cell-specific evidence limits remain.</x:v>
      </x:c>
      <x:c r="L13" s="9" t="str">
        <x:v>fusion-src-029;fusion-src-034</x:v>
      </x:c>
      <x:c r="M13" s="9" t="str">
        <x:v>tokamak_research_to_pilot_plant_demonstration</x:v>
      </x:c>
      <x:c r="N13" s="9" t="str">
        <x:v>Tokamak research through component and subsystem development, materials qualification, facility build, commissioning, integrated demonstration, and pilot-plant readiness</x:v>
      </x:c>
      <x:c r="O13" s="9" t="str">
        <x:v>not_assessed</x:v>
      </x:c>
    </x:row>
    <x:row r="14" ht="92" customHeight="1">
      <x:c r="A14" s="3" t="str">
        <x:v>sp-0023</x:v>
      </x:c>
      <x:c r="B14" s="3" t="str">
        <x:v>Plasma-facing components</x:v>
      </x:c>
      <x:c r="C14" s="3" t="str">
        <x:v>development</x:v>
      </x:c>
      <x:c r="D14" s="3" t="str">
        <x:v>Includes pilot-relevant plasma-facing component design, engineering, testing, and pre-integration under the tokamak pathway. Excludes fabrication after design maturity, site construction, integrated commissioning, and commercial-fleet rollout.</x:v>
      </x:c>
      <x:c r="E14" s="3" t="str">
        <x:v>2 | medium
supports_current_record
Both coders' mixed 2 remains defensible while the combined-environment gap stays open.</x:v>
      </x:c>
      <x:c r="F14" s="3" t="str">
        <x:v>0-1 | low
insufficient_evidence
Retain a low 0-1 candidate interval pending the defined development endpoint; no completed combined-environment result is inferred.</x:v>
      </x:c>
      <x:c r="G14" s="3" t="str">
        <x:v>0-1 | low
recommends_range
0-1 captures severe physical validation scarcity while preserving possible batch testing.</x:v>
      </x:c>
      <x:c r="H14" s="3" t="str">
        <x:v>0-1 | low
requires_human_expert
A specialist must establish which physical floors belong inside pre-integration development before narrowing 0-1.</x:v>
      </x:c>
      <x:c r="I14" s="3" t="str">
        <x:v>1-2 | low
requires_human_expert
Preserve 1-2; the seed excludes all escaped harm, while the independent rationale may import later plasma operation.</x:v>
      </x:c>
      <x:c r="J14" s="3" t="str">
        <x:v>gap-03</x:v>
      </x:c>
      <x:c r="K14" s="3" t="str">
        <x:v>No pilot-relevant combined neutron, heat-flux, cycling, erosion and maintainability result.</x:v>
      </x:c>
      <x:c r="L14" s="3" t="str">
        <x:v>fusion-src-023;fusion-src-026;fusion-src-027;fusion-src-045</x:v>
      </x:c>
      <x:c r="M14" s="3" t="str">
        <x:v>tokamak_research_to_pilot_plant_demonstration</x:v>
      </x:c>
      <x:c r="N14" s="3" t="str">
        <x:v>Tokamak research through component and subsystem development, materials qualification, facility build, commissioning, integrated demonstration, and pilot-plant readiness</x:v>
      </x:c>
      <x:c r="O14" s="3" t="str">
        <x:v>not_assessed</x:v>
      </x:c>
    </x:row>
    <x:row r="15" ht="92" customHeight="1">
      <x:c r="A15" s="9" t="str">
        <x:v>sp-0024</x:v>
      </x:c>
      <x:c r="B15" s="9" t="str">
        <x:v>Tritium and fuel cycle</x:v>
      </x:c>
      <x:c r="C15" s="9" t="str">
        <x:v>development</x:v>
      </x:c>
      <x:c r="D15" s="9" t="str">
        <x:v>Includes pilot-relevant tritium and fuel-cycle design, engineering, testing, and pre-integration under the tokamak pathway. Excludes fabrication after design maturity, site construction, integrated commissioning, and commercial-fleet rollout.</x:v>
      </x:c>
      <x:c r="E15" s="9" t="str">
        <x:v>1-2 | low
recommends_range
Broaden the shared 1 to 1-2 rather than infer work composition from missing pilot data.</x:v>
      </x:c>
      <x:c r="F15" s="9" t="str">
        <x:v>0-1 | low
insufficient_evidence
A slow 0-1 candidate remains uncalibrated. The separate integrated empirical gap stays open without defining every development revision.</x:v>
      </x:c>
      <x:c r="G15" s="9" t="str">
        <x:v>1 | low
supports_current_record
Support owner 1 because the scope includes repeatable subsystem work as well as scarce integrated testing.</x:v>
      </x:c>
      <x:c r="H15" s="9" t="str">
        <x:v>1-2 | low
requires_human_expert
1-2 requires a fuel-cycle specialist to separate intrinsic processes from access delay and later integrated operation.</x:v>
      </x:c>
      <x:c r="I15" s="9" t="str">
        <x:v>1 | low
requires_human_expert
Owner 1 is technically plausible but needs a named specialist to substantiate the boundary before approval.</x:v>
      </x:c>
      <x:c r="J15" s="9" t="str">
        <x:v>gap-04</x:v>
      </x:c>
      <x:c r="K15" s="9" t="str">
        <x:v>No pilot-scale integrated breeder, extraction, processing and inventory closure result.</x:v>
      </x:c>
      <x:c r="L15" s="9" t="str">
        <x:v>fusion-src-028;fusion-src-038</x:v>
      </x:c>
      <x:c r="M15" s="9" t="str">
        <x:v>tokamak_research_to_pilot_plant_demonstration</x:v>
      </x:c>
      <x:c r="N15" s="9" t="str">
        <x:v>Tokamak research through component and subsystem development, materials qualification, facility build, commissioning, integrated demonstration, and pilot-plant readiness</x:v>
      </x:c>
      <x:c r="O15" s="9" t="str">
        <x:v>not_assessed</x:v>
      </x:c>
    </x:row>
    <x:row r="16" ht="76" customHeight="1">
      <x:c r="A16" s="3" t="str">
        <x:v>sp-0025</x:v>
      </x:c>
      <x:c r="B16" s="3" t="str">
        <x:v>Blankets</x:v>
      </x:c>
      <x:c r="C16" s="3" t="str">
        <x:v>development</x:v>
      </x:c>
      <x:c r="D16" s="3" t="str">
        <x:v>Includes pilot-relevant blanket design, engineering, testing, and pre-integration under the tokamak pathway. Excludes fabrication after design maturity, site construction, integrated commissioning, and commercial-fleet rollout.</x:v>
      </x:c>
      <x:c r="E16" s="3" t="str">
        <x:v>2 | medium
supports_current_record
Support the shared mixed 2 while keeping the integrated qualification gap explicit.</x:v>
      </x:c>
      <x:c r="F16" s="3" t="str">
        <x:v>0-1 | low
requires_human_expert
Preserve owner 0 and recommend 0-1 pending a named specialist's definition of the decisive development test.</x:v>
      </x:c>
      <x:c r="G16" s="3" t="str">
        <x:v>1 | low
supports_current_record
The shared low intermediate 1 preserves both repeatability and scarce decisive validation.</x:v>
      </x:c>
      <x:c r="H16" s="3" t="str">
        <x:v>0-1 | low
requires_pathway_variant
0-1 should be scoped by blanket concept rather than inherited from one generic unavailable test environment.</x:v>
      </x:c>
      <x:c r="I16" s="3" t="str">
        <x:v>1 | low
requires_human_expert
Support owner 1 as a provisional recommendation with a specialist gate, not automatic worst-case 0.</x:v>
      </x:c>
      <x:c r="J16" s="3" t="str">
        <x:v>gap-05</x:v>
      </x:c>
      <x:c r="K16" s="3" t="str">
        <x:v>Future TBM tests do not establish qualified power-plant blanket performance.</x:v>
      </x:c>
      <x:c r="L16" s="3" t="str">
        <x:v>fusion-src-028;fusion-src-038;fusion-src-045</x:v>
      </x:c>
      <x:c r="M16" s="3" t="str">
        <x:v>tokamak_research_to_pilot_plant_demonstration</x:v>
      </x:c>
      <x:c r="N16" s="3" t="str">
        <x:v>Tokamak research through component and subsystem development, materials qualification, facility build, commissioning, integrated demonstration, and pilot-plant readiness</x:v>
      </x:c>
      <x:c r="O16" s="3" t="str">
        <x:v>not_assessed</x:v>
      </x:c>
    </x:row>
    <x:row r="17" ht="92" customHeight="1">
      <x:c r="A17" s="9" t="str">
        <x:v>sp-0026</x:v>
      </x:c>
      <x:c r="B17" s="9" t="str">
        <x:v>Component fabrication</x:v>
      </x:c>
      <x:c r="C17" s="9" t="str">
        <x:v>scale_up</x:v>
      </x:c>
      <x:c r="D17" s="9" t="str">
        <x:v>Includes pilot-relevant fabrication after design maturity under the tokamak pathway. Excludes earlier subsystem design or materials qualification, site construction, integrated commissioning, and commercial-fleet production.</x:v>
      </x:c>
      <x:c r="E17" s="9" t="str">
        <x:v>0 | medium
recommends_value_change
Prefer independent 0 over seed 1 under the rubric's primarily physical definition.</x:v>
      </x:c>
      <x:c r="F17" s="9" t="str">
        <x:v>1 | low
supports_current_record
Keep the shared intermediate 1 as a structural candidate, not a measured duration.</x:v>
      </x:c>
      <x:c r="G17" s="9" t="str">
        <x:v>0-1 | low
recommends_range
Preserve 0-1 and reject both invented currency amounts and a claim of no possible repetition.</x:v>
      </x:c>
      <x:c r="H17" s="9" t="str">
        <x:v>0 | medium
supports_current_record
The shared 0 is a stage-structure judgment; AI may improve process work without eliminating material operations.</x:v>
      </x:c>
      <x:c r="I17" s="9" t="str">
        <x:v>1 | low
supports_current_record
Keep 1 for expensive and only partly recoverable fabrication loss, conditionally on the receiving inspection boundary.</x:v>
      </x:c>
      <x:c r="J17" s="9" t="str">
        <x:v>none</x:v>
      </x:c>
      <x:c r="K17" s="9" t="str">
        <x:v>No additional named gap; cell-specific evidence limits remain.</x:v>
      </x:c>
      <x:c r="L17" s="9" t="str">
        <x:v>fusion-src-014;fusion-src-037</x:v>
      </x:c>
      <x:c r="M17" s="9" t="str">
        <x:v>tokamak_research_to_pilot_plant_demonstration</x:v>
      </x:c>
      <x:c r="N17" s="9" t="str">
        <x:v>Tokamak research through component and subsystem development, materials qualification, facility build, commissioning, integrated demonstration, and pilot-plant readiness</x:v>
      </x:c>
      <x:c r="O17" s="9" t="str">
        <x:v>not_assessed</x:v>
      </x:c>
    </x:row>
    <x:row r="18" ht="92" customHeight="1">
      <x:c r="A18" s="3" t="str">
        <x:v>sp-0027</x:v>
      </x:c>
      <x:c r="B18" s="3" t="str">
        <x:v>Construction</x:v>
      </x:c>
      <x:c r="C18" s="3" t="str">
        <x:v>demonstration</x:v>
      </x:c>
      <x:c r="D18" s="3" t="str">
        <x:v>Includes site work, assembly, installation, and construction of the pilot-relevant tokamak facility. Excludes off-site component fabrication, earlier subsystem design, commissioning, and commercial-fleet rollout.</x:v>
      </x:c>
      <x:c r="E18" s="3" t="str">
        <x:v>0 | high
supports_current_record
Both 0s match the frozen construction scope.</x:v>
      </x:c>
      <x:c r="F18" s="3" t="str">
        <x:v>0-2 | low
recommends_range
The shared 0 overstates certainty about cadence; keep 0-2 pending a defined decision-relevant construction loop.</x:v>
      </x:c>
      <x:c r="G18" s="3" t="str">
        <x:v>0 | medium
supports_current_record
Retain 0 for scarce major integrated attempts with a corrected, nonzero account of local throughput.</x:v>
      </x:c>
      <x:c r="H18" s="3" t="str">
        <x:v>0 | high
supports_current_record
Support 0 without treating the official baseline as an irreducible calendar duration.</x:v>
      </x:c>
      <x:c r="I18" s="3" t="str">
        <x:v>1 | medium
supports_current_record
Low intermediate tolerance is defensible, bounded at the independent construction controls.</x:v>
      </x:c>
      <x:c r="J18" s="3" t="str">
        <x:v>none</x:v>
      </x:c>
      <x:c r="K18" s="3" t="str">
        <x:v>No additional named gap; cell-specific evidence limits remain.</x:v>
      </x:c>
      <x:c r="L18" s="3" t="str">
        <x:v>fusion-src-036;fusion-src-037</x:v>
      </x:c>
      <x:c r="M18" s="3" t="str">
        <x:v>tokamak_research_to_pilot_plant_demonstration</x:v>
      </x:c>
      <x:c r="N18" s="3" t="str">
        <x:v>Tokamak research through component and subsystem development, materials qualification, facility build, commissioning, integrated demonstration, and pilot-plant readiness</x:v>
      </x:c>
      <x:c r="O18" s="3" t="str">
        <x:v>not_assessed</x:v>
      </x:c>
    </x:row>
    <x:row r="19" ht="76" customHeight="1">
      <x:c r="A19" s="9" t="str">
        <x:v>sp-0028</x:v>
      </x:c>
      <x:c r="B19" s="9" t="str">
        <x:v>Commissioning</x:v>
      </x:c>
      <x:c r="C19" s="9" t="str">
        <x:v>demonstration</x:v>
      </x:c>
      <x:c r="D19" s="9" t="str">
        <x:v>Includes bringing the assembled pilot-relevant tokamak facility into test operation, checking interfaces, and establishing integrated readiness. Excludes construction and the subsequent reliability-demonstration campaign.</x:v>
      </x:c>
      <x:c r="E19" s="9" t="str">
        <x:v>1 | medium
supports_current_record
Support the shared 1 without equating research readiness to pilot nuclear readiness.</x:v>
      </x:c>
      <x:c r="F19" s="9" t="str">
        <x:v>1-2 | low
recommends_range
Recommend 1-2: the seed itself describes weeks-to-months checks while selecting 1, so precision is unwarranted.</x:v>
      </x:c>
      <x:c r="G19" s="9" t="str">
        <x:v>0 | medium
supports_current_record
Support the owner preference for independent 0 at the integrated-attempt unit.</x:v>
      </x:c>
      <x:c r="H19" s="9" t="str">
        <x:v>0 | medium
supports_current_record
Retain 0 as a physical readiness floor without asserting fixed multi-week durations for every test.</x:v>
      </x:c>
      <x:c r="I19" s="9" t="str">
        <x:v>1 | low
requires_human_expert
Support owner 1 provisionally; obtain named expertise before canonical/public approval of this boundary.</x:v>
      </x:c>
      <x:c r="J19" s="9" t="str">
        <x:v>gap-06</x:v>
      </x:c>
      <x:c r="K19" s="9" t="str">
        <x:v>Research-device startup and target schedules do not measure this outcome.</x:v>
      </x:c>
      <x:c r="L19" s="9" t="str">
        <x:v>fusion-src-033;fusion-src-034;fusion-src-036</x:v>
      </x:c>
      <x:c r="M19" s="9" t="str">
        <x:v>tokamak_research_to_pilot_plant_demonstration</x:v>
      </x:c>
      <x:c r="N19" s="9" t="str">
        <x:v>Tokamak research through component and subsystem development, materials qualification, facility build, commissioning, integrated demonstration, and pilot-plant readiness</x:v>
      </x:c>
      <x:c r="O19" s="9" t="str">
        <x:v>not_assessed</x:v>
      </x:c>
    </x:row>
    <x:row r="20" ht="76" customHeight="1">
      <x:c r="A20" s="3" t="str">
        <x:v>sp-0029</x:v>
      </x:c>
      <x:c r="B20" s="3" t="str">
        <x:v>Reliability demonstration</x:v>
      </x:c>
      <x:c r="C20" s="3" t="str">
        <x:v>demonstration</x:v>
      </x:c>
      <x:c r="D20" s="3" t="str">
        <x:v>Includes sustained or repeated integrated testing used to demonstrate pilot-relevant reliability and operating performance. Excludes initial commissioning and routine commercial-fleet operations.</x:v>
      </x:c>
      <x:c r="E20" s="3" t="str">
        <x:v>0 | high
supports_current_record
Accumulated operating evidence is primarily physical even when measured reliability is still missing.</x:v>
      </x:c>
      <x:c r="F20" s="3" t="str">
        <x:v>0-1 | low
requires_human_expert
Keep a slow 0-1 candidate interval but do not assume the shared 0 proves a years-long statistical target.</x:v>
      </x:c>
      <x:c r="G20" s="3" t="str">
        <x:v>0 | low
supports_current_record
Retain 0 qualitatively for expensive limited integrated attempts, not a literal claim of no repetitions.</x:v>
      </x:c>
      <x:c r="H20" s="3" t="str">
        <x:v>0 | medium
supports_current_record
Keep 0 for operating-time dependence without inventing an availability threshold or exposure requirement.</x:v>
      </x:c>
      <x:c r="I20" s="3" t="str">
        <x:v>1 | low
requires_human_expert
Support owner 1 provisionally with an explicit distinction between informative failure and erroneous assurance.</x:v>
      </x:c>
      <x:c r="J20" s="3" t="str">
        <x:v>gap-07</x:v>
      </x:c>
      <x:c r="K20" s="3" t="str">
        <x:v>Pulse records do not measure integrated availability, maintenance life or capacity factor.</x:v>
      </x:c>
      <x:c r="L20" s="3" t="str">
        <x:v>fusion-src-011;fusion-src-032</x:v>
      </x:c>
      <x:c r="M20" s="3" t="str">
        <x:v>tokamak_research_to_pilot_plant_demonstration</x:v>
      </x:c>
      <x:c r="N20" s="3" t="str">
        <x:v>Tokamak research through component and subsystem development, materials qualification, facility build, commissioning, integrated demonstration, and pilot-plant readiness</x:v>
      </x:c>
      <x:c r="O20" s="3" t="str">
        <x:v>not_assessed</x:v>
      </x:c>
    </x:row>
    <x:row r="21" ht="92" customHeight="1">
      <x:c r="A21" s="9" t="str">
        <x:v>sp-0030</x:v>
      </x:c>
      <x:c r="B21" s="9" t="str">
        <x:v>Licensing</x:v>
      </x:c>
      <x:c r="C21" s="9" t="str">
        <x:v>qualification</x:v>
      </x:c>
      <x:c r="D21" s="9" t="str">
        <x:v>Includes licensing and regulatory approval work for the pilot-relevant tokamak facility and demonstration under the frozen pathway. Excludes grid connection and commercial-fleet licensing.</x:v>
      </x:c>
      <x:c r="E21" s="9" t="str">
        <x:v>4 | high
supports_current_record
Support owner 4 as a frozen-scope judgment without asserting a jurisdiction-free performance record.</x:v>
      </x:c>
      <x:c r="F21" s="9" t="str">
        <x:v>0-1 | low
requires_jurisdiction_variant
Carry 0-1 as an unadjudicated candidate range, not an empirical bound; do not select either owner-withheld value without a jurisdiction.</x:v>
      </x:c>
      <x:c r="G21" s="9" t="str">
        <x:v>0-1 | low
requires_jurisdiction_variant
Preserve 0-1 pending a jurisdiction-specific attempt definition, respecting the unresolved owner disposition.</x:v>
      </x:c>
      <x:c r="H21" s="9" t="str">
        <x:v>4 | high
supports_current_record
Support owner 4 while retaining jurisdiction-dependent S2/S3 and the missing completed case.</x:v>
      </x:c>
      <x:c r="I21" s="9" t="str">
        <x:v>0-2 | low
requires_human_expert
Preserve the owner's 0-2 disagreement; do not manufacture 1 from two model marks.</x:v>
      </x:c>
      <x:c r="J21" s="9" t="str">
        <x:v>gap-08</x:v>
      </x:c>
      <x:c r="K21" s="9" t="str">
        <x:v>Legal status is known; a comparable accepted full safety case and measured review loop are missing.</x:v>
      </x:c>
      <x:c r="L21" s="9" t="str">
        <x:v>fusion-src-004;fusion-src-039;fusion-src-040</x:v>
      </x:c>
      <x:c r="M21" s="9" t="str">
        <x:v>tokamak_research_to_pilot_plant_demonstration</x:v>
      </x:c>
      <x:c r="N21" s="9" t="str">
        <x:v>Tokamak research through component and subsystem development, materials qualification, facility build, commissioning, integrated demonstration, and pilot-plant readiness</x:v>
      </x:c>
      <x:c r="O21" s="9" t="str">
        <x:v>not_assessed</x:v>
      </x:c>
    </x:row>
    <x:row r="22" ht="76" customHeight="1">
      <x:c r="A22" s="3" t="str">
        <x:v>sp-0031</x:v>
      </x:c>
      <x:c r="B22" s="3" t="str">
        <x:v>Grid integration</x:v>
      </x:c>
      <x:c r="C22" s="3" t="str">
        <x:v>demonstration</x:v>
      </x:c>
      <x:c r="D22" s="3" t="str">
        <x:v>Includes connection and technical integration for pilot demonstration under the tokamak pathway. Excludes commercial fleet rollout and broader market diffusion.</x:v>
      </x:c>
      <x:c r="E22" s="3" t="str">
        <x:v>2 | low
supports_current_record
Keep the shared 2 as scope-based synthesis, not an observed grid-integration assessment.</x:v>
      </x:c>
      <x:c r="F22" s="3" t="str">
        <x:v>1-2 | low
insufficient_evidence
Retain a provisional 1-2 candidate interval pending a concrete connection case.</x:v>
      </x:c>
      <x:c r="G22" s="3" t="str">
        <x:v>0-1 | low
requires_pathway_variant
Preserve the owner-requested 0-1 interval and route greenfield versus reused-site connection scope.</x:v>
      </x:c>
      <x:c r="H22" s="3" t="str">
        <x:v>0-1 | low
requires_pathway_variant
Preserve the owner 0-1 interval until the physical site/pathway topology is specified.</x:v>
      </x:c>
      <x:c r="I22" s="3" t="str">
        <x:v>1 | low
requires_human_expert
Support owner 1 provisionally; the actual independent utility/plant boundary requires named review.</x:v>
      </x:c>
      <x:c r="J22" s="3" t="str">
        <x:v>gap-09</x:v>
      </x:c>
      <x:c r="K22" s="3" t="str">
        <x:v>No observed magnetic-confinement electricity-export and grid-operation case in the reviewed evidence set.</x:v>
      </x:c>
      <x:c r="L22" s="3" t="str">
        <x:v>fusion-src-031</x:v>
      </x:c>
      <x:c r="M22" s="3" t="str">
        <x:v>tokamak_research_to_pilot_plant_demonstration</x:v>
      </x:c>
      <x:c r="N22" s="3" t="str">
        <x:v>Tokamak research through component and subsystem development, materials qualification, facility build, commissioning, integrated demonstration, and pilot-plant readiness</x:v>
      </x:c>
      <x:c r="O22" s="3" t="str">
        <x:v>not_assessed</x:v>
      </x:c>
    </x:row>
  </x:sheetData>
  <x:mergeCells>
    <x:mergeCell ref="A1:D1"/>
    <x:mergeCell ref="A2:D2"/>
  </x:mergeCells>
  <x:pageMargins left="0.7" right="0.7" top="0.75" bottom="0.75" header="0.3" footer="0.3"/>
  <x:tableParts count="1">
    <x:tablePart xmlns:r="http://schemas.openxmlformats.org/officeDocument/2006/relationships" r:id="R6467f9f795ee4f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8" hidden="0" customWidth="1"/>
    <x:col min="4" max="4" width="11" hidden="0" customWidth="1"/>
    <x:col min="5" max="5" width="10" hidden="0" customWidth="1"/>
    <x:col min="6" max="6" width="10" hidden="0" customWidth="1"/>
    <x:col min="7" max="7" width="25" hidden="0" customWidth="1"/>
    <x:col min="8" max="8" width="13" hidden="0" customWidth="1"/>
    <x:col min="9" max="9" width="13" hidden="0" customWidth="1"/>
    <x:col min="10" max="10" width="10" hidden="0" customWidth="1"/>
    <x:col min="11" max="11" width="12" hidden="0" customWidth="1"/>
    <x:col min="12" max="12" width="29" hidden="0" customWidth="1"/>
    <x:col min="13" max="13" width="67" hidden="0" customWidth="1"/>
    <x:col min="14" max="14" width="27" hidden="0" customWidth="1"/>
    <x:col min="15" max="15" width="72" hidden="0" customWidth="1"/>
    <x:col min="16" max="16" width="15" hidden="0" customWidth="1"/>
    <x:col min="17" max="17" width="15" hidden="0" customWidth="1"/>
    <x:col min="18" max="18" width="29" hidden="0" customWidth="1"/>
    <x:col min="19" max="19" width="32" hidden="0" customWidth="1"/>
    <x:col min="20" max="20" width="45" hidden="0" customWidth="1"/>
    <x:col min="21" max="21" width="95" hidden="0" customWidth="1"/>
    <x:col min="22" max="22" width="95" hidden="0" customWidth="1"/>
    <x:col min="23" max="23" width="85" hidden="0" customWidth="1"/>
    <x:col min="24" max="24" width="85" hidden="0" customWidth="1"/>
    <x:col min="25" max="25" width="85" hidden="0" customWidth="1"/>
    <x:col min="26" max="26" width="25" hidden="0" customWidth="1"/>
    <x:col min="27" max="27" width="25" hidden="0" customWidth="1"/>
  </x:cols>
  <x:sheetData>
    <x:row r="1" ht="54" customHeight="1">
      <x:c r="A1" s="5" t="str">
        <x:v>Fusion | 90 dimensions</x:v>
      </x:c>
      <x:c r="B1" s="5"/>
      <x:c r="C1" s="5"/>
      <x:c r="D1" s="5"/>
      <x:c r="E1" s="5"/>
      <x:c r="F1" s="5"/>
      <x:c r="G1" s="5"/>
      <x:c r="H1" s="5"/>
      <x:c r="I1" s="5"/>
      <x:c r="J1" s="5"/>
      <x:c r="K1" s="5"/>
      <x:c r="L1" s="5"/>
      <x:c r="M1" s="5"/>
      <x:c r="N1" s="5"/>
      <x:c r="O1" s="5"/>
      <x:c r="P1" s="5"/>
      <x:c r="Q1" s="5"/>
      <x:c r="R1" s="5"/>
      <x:c r="S1" s="5"/>
      <x:c r="T1" s="5"/>
      <x:c r="U1" s="5"/>
      <x:c r="V1" s="5"/>
      <x:c r="W1" s="5"/>
      <x:c r="X1" s="5"/>
      <x:c r="Y1" s="5"/>
      <x:c r="Z1" s="5"/>
      <x:c r="AA1" s="5"/>
    </x:row>
    <x:row r="2" ht="43" customHeight="1">
      <x:c r="A2" s="6" t="str">
        <x:v>AI-assisted · recommendation only. Details extend to the right.</x:v>
      </x:c>
      <x:c r="B2" s="6"/>
      <x:c r="C2" s="6"/>
      <x:c r="D2" s="6"/>
      <x:c r="E2" s="6"/>
      <x:c r="F2" s="6"/>
      <x:c r="G2" s="6"/>
      <x:c r="H2" s="6"/>
      <x:c r="I2" s="6"/>
      <x:c r="J2" s="6"/>
      <x:c r="K2" s="6"/>
      <x:c r="L2" s="6"/>
      <x:c r="M2" s="6"/>
      <x:c r="N2" s="6"/>
      <x:c r="O2" s="6"/>
      <x:c r="P2" s="6"/>
      <x:c r="Q2" s="6"/>
      <x:c r="R2" s="6"/>
      <x:c r="S2" s="6"/>
      <x:c r="T2" s="6"/>
      <x:c r="U2" s="6"/>
      <x:c r="V2" s="6"/>
      <x:c r="W2" s="6"/>
      <x:c r="X2" s="6"/>
      <x:c r="Y2" s="6"/>
      <x:c r="Z2" s="6"/>
      <x:c r="AA2" s="6"/>
    </x:row>
    <x:row r="3">
      <x:c r="A3" s="3"/>
      <x:c r="B3" s="3"/>
      <x:c r="C3" s="3"/>
      <x:c r="D3" s="3"/>
      <x:c r="E3" s="3"/>
      <x:c r="F3" s="3"/>
      <x:c r="G3" s="3"/>
      <x:c r="H3" s="3"/>
      <x:c r="I3" s="3"/>
      <x:c r="J3" s="3"/>
      <x:c r="K3" s="3"/>
      <x:c r="L3" s="3"/>
      <x:c r="M3" s="3"/>
      <x:c r="N3" s="3"/>
      <x:c r="O3" s="3"/>
      <x:c r="P3" s="3"/>
      <x:c r="Q3" s="3"/>
      <x:c r="R3" s="3"/>
      <x:c r="S3" s="3"/>
      <x:c r="T3" s="3"/>
      <x:c r="U3" s="3"/>
      <x:c r="V3" s="3"/>
      <x:c r="W3" s="3"/>
      <x:c r="X3" s="3"/>
      <x:c r="Y3" s="3"/>
      <x:c r="Z3" s="3"/>
      <x:c r="AA3" s="3"/>
    </x:row>
    <x:row r="4" ht="43" customHeight="1">
      <x:c r="A4" s="8" t="str">
        <x:v>Profile ID</x:v>
      </x:c>
      <x:c r="B4" s="8" t="str">
        <x:v>Dimension</x:v>
      </x:c>
      <x:c r="C4" s="8" t="str">
        <x:v>Seed</x:v>
      </x:c>
      <x:c r="D4" s="8" t="str">
        <x:v>Independent</x:v>
      </x:c>
      <x:c r="E4" s="8" t="str">
        <x:v>Current low</x:v>
      </x:c>
      <x:c r="F4" s="8" t="str">
        <x:v>Current high</x:v>
      </x:c>
      <x:c r="G4" s="8" t="str">
        <x:v>Owner disposition</x:v>
      </x:c>
      <x:c r="H4" s="8" t="str">
        <x:v>Recommended low</x:v>
      </x:c>
      <x:c r="I4" s="8" t="str">
        <x:v>Recommended high</x:v>
      </x:c>
      <x:c r="J4" s="8" t="str">
        <x:v>Form</x:v>
      </x:c>
      <x:c r="K4" s="8" t="str">
        <x:v>Confidence</x:v>
      </x:c>
      <x:c r="L4" s="8" t="str">
        <x:v>Disposition</x:v>
      </x:c>
      <x:c r="M4" s="8" t="str">
        <x:v>Reason</x:v>
      </x:c>
      <x:c r="N4" s="8" t="str">
        <x:v>Canonical source IDs</x:v>
      </x:c>
      <x:c r="O4" s="8" t="str">
        <x:v>Revisit trigger</x:v>
      </x:c>
      <x:c r="P4" s="8" t="str">
        <x:v>Named expert required</x:v>
      </x:c>
      <x:c r="Q4" s="8" t="str">
        <x:v>Owner exception</x:v>
      </x:c>
      <x:c r="R4" s="8" t="str">
        <x:v>Workflow</x:v>
      </x:c>
      <x:c r="S4" s="8" t="str">
        <x:v>Evidence relation</x:v>
      </x:c>
      <x:c r="T4" s="8" t="str">
        <x:v>Evidence maturity</x:v>
      </x:c>
      <x:c r="U4" s="8" t="str">
        <x:v>Technical assessment</x:v>
      </x:c>
      <x:c r="V4" s="8" t="str">
        <x:v>Technical transferability</x:v>
      </x:c>
      <x:c r="W4" s="8" t="str">
        <x:v>S5 bounded consequence</x:v>
      </x:c>
      <x:c r="X4" s="8" t="str">
        <x:v>S5 next independent boundary</x:v>
      </x:c>
      <x:c r="Y4" s="8" t="str">
        <x:v>S5 excluded consequences</x:v>
      </x:c>
      <x:c r="Z4" s="8" t="str">
        <x:v>S5 boundary status</x:v>
      </x:c>
      <x:c r="AA4" s="8" t="str">
        <x:v>Review ID</x:v>
      </x:c>
    </x:row>
    <x:row r="5" ht="60" customHeight="1">
      <x:c r="A5" s="9" t="str">
        <x:v>sp-0014</x:v>
      </x:c>
      <x:c r="B5" s="9" t="str">
        <x:v>S1</x:v>
      </x:c>
      <x:c r="C5" s="12" t="n">
        <x:v>4</x:v>
      </x:c>
      <x:c r="D5" s="12" t="n">
        <x:v>4</x:v>
      </x:c>
      <x:c r="E5" s="12" t="n">
        <x:f>MIN(C5:D5)</x:f>
        <x:v>4</x:v>
      </x:c>
      <x:c r="F5" s="12" t="n">
        <x:f>MAX(C5:D5)</x:f>
        <x:v>4</x:v>
      </x:c>
      <x:c r="G5" s="9" t="str">
        <x:v>missing</x:v>
      </x:c>
      <x:c r="H5" s="12" t="n">
        <x:v>4</x:v>
      </x:c>
      <x:c r="I5" s="12" t="n">
        <x:v>4</x:v>
      </x:c>
      <x:c r="J5" s="9" t="str">
        <x:f>IF(H5=I5,"value","range")</x:f>
        <x:v>value</x:v>
      </x:c>
      <x:c r="K5" s="9" t="str">
        <x:v>high</x:v>
      </x:c>
      <x:c r="L5" s="9" t="str">
        <x:v>supports_current_record</x:v>
      </x:c>
      <x:c r="M5" s="9" t="str">
        <x:v>Both submissions correctly isolate analytical system design.</x:v>
      </x:c>
      <x:c r="N5" s="9" t="str">
        <x:v>fusion-src-028;fusion-src-024</x:v>
      </x:c>
      <x:c r="O5" s="9" t="str">
        <x:v>Revisit if detailed hardware engineering or physical tests enter the frozen design scope.</x:v>
      </x:c>
      <x:c r="P5" s="9" t="str">
        <x:v>false</x:v>
      </x:c>
      <x:c r="Q5" s="9" t="str">
        <x:v>false</x:v>
      </x:c>
      <x:c r="R5" s="9" t="str">
        <x:v>Theory and system design</x:v>
      </x:c>
      <x:c r="S5" s="9" t="str">
        <x:v>target_programme_status</x:v>
      </x:c>
      <x:c r="T5" s="9" t="str">
        <x:v>programme announcement</x:v>
      </x:c>
      <x:c r="U5" s="9" t="str">
        <x:v>Requirements, architecture and trade-off analysis are information work inside this scope; later embodiment does not lower S1. The 4 endpoint is primarily informational, not an assertion that designs are physically validated.</x:v>
      </x:c>
      <x:c r="V5" s="9" t="str">
        <x:v>DOE and STELLAR-AI describe programme intent; the frozen definition, not an outcome measurement, grounds this structural judgment.</x:v>
      </x:c>
      <x:c r="W5" s="9" t="str">
        <x:v>not_applicable</x:v>
      </x:c>
      <x:c r="X5" s="9" t="str">
        <x:v>not_applicable</x:v>
      </x:c>
      <x:c r="Y5" s="9" t="str">
        <x:v>not_applicable</x:v>
      </x:c>
      <x:c r="Z5" s="9" t="str">
        <x:v>not_applicable</x:v>
      </x:c>
      <x:c r="AA5" s="9" t="str">
        <x:v>dr-sp-0014-s1-v1</x:v>
      </x:c>
    </x:row>
    <x:row r="6" ht="60" customHeight="1">
      <x:c r="A6" s="3" t="str">
        <x:v>sp-0014</x:v>
      </x:c>
      <x:c r="B6" s="3" t="str">
        <x:v>S2</x:v>
      </x:c>
      <x:c r="C6" s="13" t="n">
        <x:v>3</x:v>
      </x:c>
      <x:c r="D6" s="13" t="n">
        <x:v>2</x:v>
      </x:c>
      <x:c r="E6" s="13" t="n">
        <x:f>MIN(C6:D6)</x:f>
        <x:v>2</x:v>
      </x:c>
      <x:c r="F6" s="13" t="n">
        <x:f>MAX(C6:D6)</x:f>
        <x:v>3</x:v>
      </x:c>
      <x:c r="G6" s="3" t="str">
        <x:v>missing</x:v>
      </x:c>
      <x:c r="H6" s="13" t="n">
        <x:v>2</x:v>
      </x:c>
      <x:c r="I6" s="13" t="n">
        <x:v>3</x:v>
      </x:c>
      <x:c r="J6" s="3" t="str">
        <x:f>IF(H6=I6,"value","range")</x:f>
        <x:v>range</x:v>
      </x:c>
      <x:c r="K6" s="3" t="str">
        <x:v>low</x:v>
      </x:c>
      <x:c r="L6" s="3" t="str">
        <x:v>recommends_range</x:v>
      </x:c>
      <x:c r="M6" s="3" t="str">
        <x:v>Retain the 2-3 disagreement rather than deriving cadence from programme dates.</x:v>
      </x:c>
      <x:c r="N6" s="3" t="str">
        <x:v>fusion-src-024;fusion-src-028</x:v>
      </x:c>
      <x:c r="O6" s="3" t="str">
        <x:v>Obtain a dated tokamak system-design revision log with model runtime and review time separated.</x:v>
      </x:c>
      <x:c r="P6" s="3" t="str">
        <x:v>false</x:v>
      </x:c>
      <x:c r="Q6" s="3" t="str">
        <x:v>false</x:v>
      </x:c>
      <x:c r="R6" s="3" t="str">
        <x:v>Theory and system design</x:v>
      </x:c>
      <x:c r="S6" s="3" t="str">
        <x:v>target_programme_status</x:v>
      </x:c>
      <x:c r="T6" s="3" t="str">
        <x:v>programme announcement</x:v>
      </x:c>
      <x:c r="U6" s="3" t="str">
        <x:v>The ordinary loop is coupled analysis, consistency checking and revision. A months-long simulation can be a component of that loop, but neither programme source measures an ordinary system-design revision.</x:v>
      </x:c>
      <x:c r="V6" s="3" t="str">
        <x:v>Planned platforms do not supply a distribution of completed design cycles. Days-to-weeks versus weeks-to-months remains unmeasured.</x:v>
      </x:c>
      <x:c r="W6" s="3" t="str">
        <x:v>not_applicable</x:v>
      </x:c>
      <x:c r="X6" s="3" t="str">
        <x:v>not_applicable</x:v>
      </x:c>
      <x:c r="Y6" s="3" t="str">
        <x:v>not_applicable</x:v>
      </x:c>
      <x:c r="Z6" s="3" t="str">
        <x:v>not_applicable</x:v>
      </x:c>
      <x:c r="AA6" s="3" t="str">
        <x:v>dr-sp-0014-s2-v1</x:v>
      </x:c>
    </x:row>
    <x:row r="7" ht="60" customHeight="1">
      <x:c r="A7" s="9" t="str">
        <x:v>sp-0014</x:v>
      </x:c>
      <x:c r="B7" s="9" t="str">
        <x:v>S3</x:v>
      </x:c>
      <x:c r="C7" s="12" t="n">
        <x:v>3</x:v>
      </x:c>
      <x:c r="D7" s="12" t="n">
        <x:v>3</x:v>
      </x:c>
      <x:c r="E7" s="12" t="n">
        <x:f>MIN(C7:D7)</x:f>
        <x:v>3</x:v>
      </x:c>
      <x:c r="F7" s="12" t="n">
        <x:f>MAX(C7:D7)</x:f>
        <x:v>3</x:v>
      </x:c>
      <x:c r="G7" s="9" t="str">
        <x:v>missing</x:v>
      </x:c>
      <x:c r="H7" s="12" t="n">
        <x:v>3</x:v>
      </x:c>
      <x:c r="I7" s="12" t="n">
        <x:v>3</x:v>
      </x:c>
      <x:c r="J7" s="9" t="str">
        <x:f>IF(H7=I7,"value","range")</x:f>
        <x:v>value</x:v>
      </x:c>
      <x:c r="K7" s="9" t="str">
        <x:v>medium</x:v>
      </x:c>
      <x:c r="L7" s="9" t="str">
        <x:v>supports_current_record</x:v>
      </x:c>
      <x:c r="M7" s="9" t="str">
        <x:v>3 is a qualitative intermediate judgment about cheap analysis with constrained decisive throughput.</x:v>
      </x:c>
      <x:c r="N7" s="9" t="str">
        <x:v>fusion-src-024;fusion-src-023</x:v>
      </x:c>
      <x:c r="O7" s="9" t="str">
        <x:v>Revisit with compute, staffing and concurrent design-study records for a scoped tokamak architecture.</x:v>
      </x:c>
      <x:c r="P7" s="9" t="str">
        <x:v>false</x:v>
      </x:c>
      <x:c r="Q7" s="9" t="str">
        <x:v>false</x:v>
      </x:c>
      <x:c r="R7" s="9" t="str">
        <x:v>Theory and system design</x:v>
      </x:c>
      <x:c r="S7" s="9" t="str">
        <x:v>target_programme_status;adjacent_stage_analogy</x:v>
      </x:c>
      <x:c r="T7" s="9" t="str">
        <x:v>programme announcement; proof of concept</x:v>
      </x:c>
      <x:c r="U7" s="9" t="str">
        <x:v>Marginal design alternatives cost analyst and compute time; parallel trade studies remain possible. High-fidelity analyses and coupled-system checking constrain throughput, preventing a near-free 4.</x:v>
      </x:c>
      <x:c r="V7" s="9" t="str">
        <x:v>HEAT-ML illustrates cheap repeated calculation only for a small SPARC geometry; it does not measure complete design-study cost or concurrency.</x:v>
      </x:c>
      <x:c r="W7" s="9" t="str">
        <x:v>not_applicable</x:v>
      </x:c>
      <x:c r="X7" s="9" t="str">
        <x:v>not_applicable</x:v>
      </x:c>
      <x:c r="Y7" s="9" t="str">
        <x:v>not_applicable</x:v>
      </x:c>
      <x:c r="Z7" s="9" t="str">
        <x:v>not_applicable</x:v>
      </x:c>
      <x:c r="AA7" s="9" t="str">
        <x:v>dr-sp-0014-s3-v1</x:v>
      </x:c>
    </x:row>
    <x:row r="8" ht="60" customHeight="1">
      <x:c r="A8" s="3" t="str">
        <x:v>sp-0014</x:v>
      </x:c>
      <x:c r="B8" s="3" t="str">
        <x:v>S4</x:v>
      </x:c>
      <x:c r="C8" s="13" t="n">
        <x:v>4</x:v>
      </x:c>
      <x:c r="D8" s="13" t="n">
        <x:v>4</x:v>
      </x:c>
      <x:c r="E8" s="13" t="n">
        <x:f>MIN(C8:D8)</x:f>
        <x:v>4</x:v>
      </x:c>
      <x:c r="F8" s="13" t="n">
        <x:f>MAX(C8:D8)</x:f>
        <x:v>4</x:v>
      </x:c>
      <x:c r="G8" s="3" t="str">
        <x:v>missing</x:v>
      </x:c>
      <x:c r="H8" s="13" t="n">
        <x:v>4</x:v>
      </x:c>
      <x:c r="I8" s="13" t="n">
        <x:v>4</x:v>
      </x:c>
      <x:c r="J8" s="3" t="str">
        <x:f>IF(H8=I8,"value","range")</x:f>
        <x:v>value</x:v>
      </x:c>
      <x:c r="K8" s="3" t="str">
        <x:v>high</x:v>
      </x:c>
      <x:c r="L8" s="3" t="str">
        <x:v>supports_current_record</x:v>
      </x:c>
      <x:c r="M8" s="3" t="str">
        <x:v>Both 4s remain defensible under the frozen exclusion boundary.</x:v>
      </x:c>
      <x:c r="N8" s="3" t="str">
        <x:v>fusion-src-028</x:v>
      </x:c>
      <x:c r="O8" s="3" t="str">
        <x:v>Revisit only if the stage scope gains a physical process, not merely a slower review queue.</x:v>
      </x:c>
      <x:c r="P8" s="3" t="str">
        <x:v>false</x:v>
      </x:c>
      <x:c r="Q8" s="3" t="str">
        <x:v>false</x:v>
      </x:c>
      <x:c r="R8" s="3" t="str">
        <x:v>Theory and system design</x:v>
      </x:c>
      <x:c r="S8" s="3" t="str">
        <x:v>target_programme_status</x:v>
      </x:c>
      <x:c r="T8" s="3" t="str">
        <x:v>programme announcement</x:v>
      </x:c>
      <x:c r="U8" s="3" t="str">
        <x:v>No physical transformation, fabrication or qualification is included in system-design work. Waiting for external experiment results may slow S2 but is not an intrinsic S4 floor.</x:v>
      </x:c>
      <x:c r="V8" s="3" t="str">
        <x:v>The roadmap identifies downstream physical challenges; it does not move them into this analytical stage.</x:v>
      </x:c>
      <x:c r="W8" s="3" t="str">
        <x:v>not_applicable</x:v>
      </x:c>
      <x:c r="X8" s="3" t="str">
        <x:v>not_applicable</x:v>
      </x:c>
      <x:c r="Y8" s="3" t="str">
        <x:v>not_applicable</x:v>
      </x:c>
      <x:c r="Z8" s="3" t="str">
        <x:v>not_applicable</x:v>
      </x:c>
      <x:c r="AA8" s="3" t="str">
        <x:v>dr-sp-0014-s4-v1</x:v>
      </x:c>
    </x:row>
    <x:row r="9" ht="60" customHeight="1">
      <x:c r="A9" s="9" t="str">
        <x:v>sp-0014</x:v>
      </x:c>
      <x:c r="B9" s="9" t="str">
        <x:v>S5</x:v>
      </x:c>
      <x:c r="C9" s="12" t="n">
        <x:v>3</x:v>
      </x:c>
      <x:c r="D9" s="12" t="n">
        <x:v>2</x:v>
      </x:c>
      <x:c r="E9" s="12" t="n">
        <x:f>MIN(C9:D9)</x:f>
        <x:v>2</x:v>
      </x:c>
      <x:c r="F9" s="12" t="n">
        <x:f>MAX(C9:D9)</x:f>
        <x:v>3</x:v>
      </x:c>
      <x:c r="G9" s="9" t="str">
        <x:v>missing</x:v>
      </x:c>
      <x:c r="H9" s="12" t="n">
        <x:v>2</x:v>
      </x:c>
      <x:c r="I9" s="12" t="n">
        <x:v>3</x:v>
      </x:c>
      <x:c r="J9" s="9" t="str">
        <x:f>IF(H9=I9,"value","range")</x:f>
        <x:v>range</x:v>
      </x:c>
      <x:c r="K9" s="9" t="str">
        <x:v>low</x:v>
      </x:c>
      <x:c r="L9" s="9" t="str">
        <x:v>recommends_range</x:v>
      </x:c>
      <x:c r="M9" s="9" t="str">
        <x:v>A bounded 2-3 recommendation preserves uncertainty about reversible but potentially material engineering rework.</x:v>
      </x:c>
      <x:c r="N9" s="9" t="str">
        <x:v>missing</x:v>
      </x:c>
      <x:c r="O9" s="9" t="str">
        <x:v>Identify the receiving design authority, independent review gate and commitments made before that gate.</x:v>
      </x:c>
      <x:c r="P9" s="9" t="str">
        <x:v>false</x:v>
      </x:c>
      <x:c r="Q9" s="9" t="str">
        <x:v>false</x:v>
      </x:c>
      <x:c r="R9" s="9" t="str">
        <x:v>Theory and system design</x:v>
      </x:c>
      <x:c r="S9" s="9" t="str">
        <x:v>absent</x:v>
      </x:c>
      <x:c r="T9" s="9" t="str">
        <x:v>No directly relevant canonical source located</x:v>
      </x:c>
      <x:c r="U9" s="9" t="str">
        <x:v>Incorrect system requirements can waste downstream engineering before independent design assurance. They do not directly inherit every later construction or plant-operation hazard.</x:v>
      </x:c>
      <x:c r="V9" s="9" t="str">
        <x:v>No canonical source establishes the next independent design assurance boundary or the loss caused before it.</x:v>
      </x:c>
      <x:c r="W9" s="9" t="str">
        <x:v>Misdirected trade studies and subsystem engineering before design verification.</x:v>
      </x:c>
      <x:c r="X9" s="9" t="str">
        <x:v>Independent subsystem design verification before fabrication release.</x:v>
      </x:c>
      <x:c r="Y9" s="9" t="str">
        <x:v>Construction losses or operating accidents requiring later independent design, fabrication or commissioning assurance to fail.</x:v>
      </x:c>
      <x:c r="Z9" s="9" t="str">
        <x:v>assumed_not_verified</x:v>
      </x:c>
      <x:c r="AA9" s="9" t="str">
        <x:v>dr-sp-0014-s5-v1</x:v>
      </x:c>
    </x:row>
    <x:row r="10" ht="44" customHeight="1">
      <x:c r="A10" s="3" t="str">
        <x:v>sp-0015</x:v>
      </x:c>
      <x:c r="B10" s="3" t="str">
        <x:v>S1</x:v>
      </x:c>
      <x:c r="C10" s="13" t="n">
        <x:v>4</x:v>
      </x:c>
      <x:c r="D10" s="13" t="n">
        <x:v>4</x:v>
      </x:c>
      <x:c r="E10" s="13" t="n">
        <x:f>MIN(C10:D10)</x:f>
        <x:v>4</x:v>
      </x:c>
      <x:c r="F10" s="13" t="n">
        <x:f>MAX(C10:D10)</x:f>
        <x:v>4</x:v>
      </x:c>
      <x:c r="G10" s="3" t="str">
        <x:v>missing</x:v>
      </x:c>
      <x:c r="H10" s="13" t="n">
        <x:v>4</x:v>
      </x:c>
      <x:c r="I10" s="13" t="n">
        <x:v>4</x:v>
      </x:c>
      <x:c r="J10" s="3" t="str">
        <x:f>IF(H10=I10,"value","range")</x:f>
        <x:v>value</x:v>
      </x:c>
      <x:c r="K10" s="3" t="str">
        <x:v>high</x:v>
      </x:c>
      <x:c r="L10" s="3" t="str">
        <x:v>supports_current_record</x:v>
      </x:c>
      <x:c r="M10" s="3" t="str">
        <x:v>The evidence supports informational work without implying predictive sufficiency.</x:v>
      </x:c>
      <x:c r="N10" s="3" t="str">
        <x:v>fusion-src-022;fusion-src-023;fusion-src-007</x:v>
      </x:c>
      <x:c r="O10" s="3" t="str">
        <x:v>Revisit on a scope change that incorporates physical experimental execution.</x:v>
      </x:c>
      <x:c r="P10" s="3" t="str">
        <x:v>false</x:v>
      </x:c>
      <x:c r="Q10" s="3" t="str">
        <x:v>false</x:v>
      </x:c>
      <x:c r="R10" s="3" t="str">
        <x:v>Simulation</x:v>
      </x:c>
      <x:c r="S10" s="3" t="str">
        <x:v>exact_stage</x:v>
      </x:c>
      <x:c r="T10" s="3" t="str">
        <x:v>proof of concept; observed experimental result</x:v>
      </x:c>
      <x:c r="U10" s="3" t="str">
        <x:v>Model construction, training, numerical solution and analysis are information processing. Physical validation is outside the simulation activity.</x:v>
      </x:c>
      <x:c r="V10" s="3" t="str">
        <x:v>Equilibrium and geometry-specific surrogate cases match the research simulation activity, not universal model fidelity.</x:v>
      </x:c>
      <x:c r="W10" s="3" t="str">
        <x:v>not_applicable</x:v>
      </x:c>
      <x:c r="X10" s="3" t="str">
        <x:v>not_applicable</x:v>
      </x:c>
      <x:c r="Y10" s="3" t="str">
        <x:v>not_applicable</x:v>
      </x:c>
      <x:c r="Z10" s="3" t="str">
        <x:v>not_applicable</x:v>
      </x:c>
      <x:c r="AA10" s="3" t="str">
        <x:v>dr-sp-0015-s1-v1</x:v>
      </x:c>
    </x:row>
    <x:row r="11" ht="60" customHeight="1">
      <x:c r="A11" s="9" t="str">
        <x:v>sp-0015</x:v>
      </x:c>
      <x:c r="B11" s="9" t="str">
        <x:v>S2</x:v>
      </x:c>
      <x:c r="C11" s="12" t="n">
        <x:v>3</x:v>
      </x:c>
      <x:c r="D11" s="12" t="n">
        <x:v>3</x:v>
      </x:c>
      <x:c r="E11" s="12" t="n">
        <x:f>MIN(C11:D11)</x:f>
        <x:v>3</x:v>
      </x:c>
      <x:c r="F11" s="12" t="n">
        <x:f>MAX(C11:D11)</x:f>
        <x:v>3</x:v>
      </x:c>
      <x:c r="G11" s="9" t="str">
        <x:v>missing</x:v>
      </x:c>
      <x:c r="H11" s="12" t="n">
        <x:v>3</x:v>
      </x:c>
      <x:c r="I11" s="12" t="n">
        <x:v>3</x:v>
      </x:c>
      <x:c r="J11" s="9" t="str">
        <x:f>IF(H11=I11,"value","range")</x:f>
        <x:v>value</x:v>
      </x:c>
      <x:c r="K11" s="9" t="str">
        <x:v>medium</x:v>
      </x:c>
      <x:c r="L11" s="9" t="str">
        <x:v>supports_current_record</x:v>
      </x:c>
      <x:c r="M11" s="9" t="str">
        <x:v>Retain 3 provisionally: fast repeated runs coexist with slower model development.</x:v>
      </x:c>
      <x:c r="N11" s="9" t="str">
        <x:v>fusion-src-023;fusion-src-022;fusion-src-024</x:v>
      </x:c>
      <x:c r="O11" s="9" t="str">
        <x:v>Obtain end-to-end timed simulation workflows including setup, training, error checking and reruns.</x:v>
      </x:c>
      <x:c r="P11" s="9" t="str">
        <x:v>false</x:v>
      </x:c>
      <x:c r="Q11" s="9" t="str">
        <x:v>false</x:v>
      </x:c>
      <x:c r="R11" s="9" t="str">
        <x:v>Simulation</x:v>
      </x:c>
      <x:c r="S11" s="9" t="str">
        <x:v>exact_stage;target_programme_status</x:v>
      </x:c>
      <x:c r="T11" s="9" t="str">
        <x:v>proof of concept; programme announcement</x:v>
      </x:c>
      <x:c r="U11" s="9" t="str">
        <x:v>HEAT-ML shortens one inference calculation; training, setup, checking and higher-fidelity reruns still belong in the ordinary learn-test-revise loop. Milliseconds alone do not justify 4 for all simulation.</x:v>
      </x:c>
      <x:c r="V11" s="9" t="str">
        <x:v>The 15-tile SPARC result is exact for that calculation; transfer to integrated tokamak models and total workflow time is limited.</x:v>
      </x:c>
      <x:c r="W11" s="9" t="str">
        <x:v>not_applicable</x:v>
      </x:c>
      <x:c r="X11" s="9" t="str">
        <x:v>not_applicable</x:v>
      </x:c>
      <x:c r="Y11" s="9" t="str">
        <x:v>not_applicable</x:v>
      </x:c>
      <x:c r="Z11" s="9" t="str">
        <x:v>not_applicable</x:v>
      </x:c>
      <x:c r="AA11" s="9" t="str">
        <x:v>dr-sp-0015-s2-v1</x:v>
      </x:c>
    </x:row>
    <x:row r="12" ht="60" customHeight="1">
      <x:c r="A12" s="3" t="str">
        <x:v>sp-0015</x:v>
      </x:c>
      <x:c r="B12" s="3" t="str">
        <x:v>S3</x:v>
      </x:c>
      <x:c r="C12" s="13" t="n">
        <x:v>3</x:v>
      </x:c>
      <x:c r="D12" s="13" t="n">
        <x:v>3</x:v>
      </x:c>
      <x:c r="E12" s="13" t="n">
        <x:f>MIN(C12:D12)</x:f>
        <x:v>3</x:v>
      </x:c>
      <x:c r="F12" s="13" t="n">
        <x:f>MAX(C12:D12)</x:f>
        <x:v>3</x:v>
      </x:c>
      <x:c r="G12" s="3" t="str">
        <x:v>missing</x:v>
      </x:c>
      <x:c r="H12" s="13" t="n">
        <x:v>3</x:v>
      </x:c>
      <x:c r="I12" s="13" t="n">
        <x:v>3</x:v>
      </x:c>
      <x:c r="J12" s="3" t="str">
        <x:f>IF(H12=I12,"value","range")</x:f>
        <x:v>value</x:v>
      </x:c>
      <x:c r="K12" s="3" t="str">
        <x:v>medium</x:v>
      </x:c>
      <x:c r="L12" s="3" t="str">
        <x:v>supports_current_record</x:v>
      </x:c>
      <x:c r="M12" s="3" t="str">
        <x:v>Both coders distinguish repeated computation from scarce high-fidelity work.</x:v>
      </x:c>
      <x:c r="N12" s="3" t="str">
        <x:v>fusion-src-023;fusion-src-022</x:v>
      </x:c>
      <x:c r="O12" s="3" t="str">
        <x:v>Revisit with all-in compute cost and attainable concurrent runs across the scoped simulation workload.</x:v>
      </x:c>
      <x:c r="P12" s="3" t="str">
        <x:v>false</x:v>
      </x:c>
      <x:c r="Q12" s="3" t="str">
        <x:v>false</x:v>
      </x:c>
      <x:c r="R12" s="3" t="str">
        <x:v>Simulation</x:v>
      </x:c>
      <x:c r="S12" s="3" t="str">
        <x:v>exact_stage</x:v>
      </x:c>
      <x:c r="T12" s="3" t="str">
        <x:v>proof of concept</x:v>
      </x:c>
      <x:c r="U12" s="3" t="str">
        <x:v>Marginal surrogate runs are cheap and parallel, but creating the reference simulations, training data and expert setup is not free. High-fidelity jobs constrain attainable throughput even when inference is inexpensive.</x:v>
      </x:c>
      <x:c r="V12" s="3" t="str">
        <x:v>The approximately 1,000 reference simulations are a training-set count, not a throughput rate or a cost estimate.</x:v>
      </x:c>
      <x:c r="W12" s="3" t="str">
        <x:v>not_applicable</x:v>
      </x:c>
      <x:c r="X12" s="3" t="str">
        <x:v>not_applicable</x:v>
      </x:c>
      <x:c r="Y12" s="3" t="str">
        <x:v>not_applicable</x:v>
      </x:c>
      <x:c r="Z12" s="3" t="str">
        <x:v>not_applicable</x:v>
      </x:c>
      <x:c r="AA12" s="3" t="str">
        <x:v>dr-sp-0015-s3-v1</x:v>
      </x:c>
    </x:row>
    <x:row r="13" ht="44" customHeight="1">
      <x:c r="A13" s="9" t="str">
        <x:v>sp-0015</x:v>
      </x:c>
      <x:c r="B13" s="9" t="str">
        <x:v>S4</x:v>
      </x:c>
      <x:c r="C13" s="12" t="n">
        <x:v>4</x:v>
      </x:c>
      <x:c r="D13" s="12" t="n">
        <x:v>4</x:v>
      </x:c>
      <x:c r="E13" s="12" t="n">
        <x:f>MIN(C13:D13)</x:f>
        <x:v>4</x:v>
      </x:c>
      <x:c r="F13" s="12" t="n">
        <x:f>MAX(C13:D13)</x:f>
        <x:v>4</x:v>
      </x:c>
      <x:c r="G13" s="9" t="str">
        <x:v>missing</x:v>
      </x:c>
      <x:c r="H13" s="12" t="n">
        <x:v>4</x:v>
      </x:c>
      <x:c r="I13" s="12" t="n">
        <x:v>4</x:v>
      </x:c>
      <x:c r="J13" s="9" t="str">
        <x:f>IF(H13=I13,"value","range")</x:f>
        <x:v>value</x:v>
      </x:c>
      <x:c r="K13" s="9" t="str">
        <x:v>high</x:v>
      </x:c>
      <x:c r="L13" s="9" t="str">
        <x:v>supports_current_record</x:v>
      </x:c>
      <x:c r="M13" s="9" t="str">
        <x:v>No physical-process floor belongs in simulation S4 under this scope.</x:v>
      </x:c>
      <x:c r="N13" s="9" t="str">
        <x:v>fusion-src-023;fusion-src-022</x:v>
      </x:c>
      <x:c r="O13" s="9" t="str">
        <x:v>Revisit if the stage is explicitly expanded to include experimental validation.</x:v>
      </x:c>
      <x:c r="P13" s="9" t="str">
        <x:v>false</x:v>
      </x:c>
      <x:c r="Q13" s="9" t="str">
        <x:v>false</x:v>
      </x:c>
      <x:c r="R13" s="9" t="str">
        <x:v>Simulation</x:v>
      </x:c>
      <x:c r="S13" s="9" t="str">
        <x:v>exact_stage</x:v>
      </x:c>
      <x:c r="T13" s="9" t="str">
        <x:v>proof of concept</x:v>
      </x:c>
      <x:c r="U13" s="9" t="str">
        <x:v>Compute runtime and HPC allocation can slow feedback but are not construction, irradiation or qualification floors inside this stage. Physical experimentation remains excluded.</x:v>
      </x:c>
      <x:c r="V13" s="9" t="str">
        <x:v>The narrow surrogates support digital execution; the 4 is a scope judgment, not proof that all simulations are fast.</x:v>
      </x:c>
      <x:c r="W13" s="9" t="str">
        <x:v>not_applicable</x:v>
      </x:c>
      <x:c r="X13" s="9" t="str">
        <x:v>not_applicable</x:v>
      </x:c>
      <x:c r="Y13" s="9" t="str">
        <x:v>not_applicable</x:v>
      </x:c>
      <x:c r="Z13" s="9" t="str">
        <x:v>not_applicable</x:v>
      </x:c>
      <x:c r="AA13" s="9" t="str">
        <x:v>dr-sp-0015-s4-v1</x:v>
      </x:c>
    </x:row>
    <x:row r="14" ht="60" customHeight="1">
      <x:c r="A14" s="3" t="str">
        <x:v>sp-0015</x:v>
      </x:c>
      <x:c r="B14" s="3" t="str">
        <x:v>S5</x:v>
      </x:c>
      <x:c r="C14" s="13" t="n">
        <x:v>4</x:v>
      </x:c>
      <x:c r="D14" s="13" t="n">
        <x:v>3</x:v>
      </x:c>
      <x:c r="E14" s="13" t="n">
        <x:f>MIN(C14:D14)</x:f>
        <x:v>3</x:v>
      </x:c>
      <x:c r="F14" s="13" t="n">
        <x:f>MAX(C14:D14)</x:f>
        <x:v>4</x:v>
      </x:c>
      <x:c r="G14" s="3" t="str">
        <x:v>missing</x:v>
      </x:c>
      <x:c r="H14" s="13" t="n">
        <x:v>3</x:v>
      </x:c>
      <x:c r="I14" s="13" t="n">
        <x:v>3</x:v>
      </x:c>
      <x:c r="J14" s="3" t="str">
        <x:f>IF(H14=I14,"value","range")</x:f>
        <x:v>value</x:v>
      </x:c>
      <x:c r="K14" s="3" t="str">
        <x:v>medium</x:v>
      </x:c>
      <x:c r="L14" s="3" t="str">
        <x:v>recommends_value_change</x:v>
      </x:c>
      <x:c r="M14" s="3" t="str">
        <x:v>Prefer 3 over seed 4 under the bounded escaped-output rule; this is a later S5 recommendation only.</x:v>
      </x:c>
      <x:c r="N14" s="3" t="str">
        <x:v>fusion-src-022;fusion-src-023</x:v>
      </x:c>
      <x:c r="O14" s="3" t="str">
        <x:v>Verify the independent model validation and experiment-release gates for the intended use.</x:v>
      </x:c>
      <x:c r="P14" s="3" t="str">
        <x:v>false</x:v>
      </x:c>
      <x:c r="Q14" s="3" t="str">
        <x:v>true</x:v>
      </x:c>
      <x:c r="R14" s="3" t="str">
        <x:v>Simulation</x:v>
      </x:c>
      <x:c r="S14" s="3" t="str">
        <x:v>exact_stage</x:v>
      </x:c>
      <x:c r="T14" s="3" t="str">
        <x:v>proof of concept</x:v>
      </x:c>
      <x:c r="U14" s="3" t="str">
        <x:v>A wrong simulation output can misdirect immediate analysis or experiment planning before independent model/use validation. Rerun reversibility does not make all escaped errors low-externality; remote hardware losses stop at that validation boundary.</x:v>
      </x:c>
      <x:c r="V14" s="3" t="str">
        <x:v>The papers establish narrow model use, not measured error losses or safety certification. Consequence allocation is qualitative.</x:v>
      </x:c>
      <x:c r="W14" s="3" t="str">
        <x:v>Wasted calculations and misdirected immediate design or experiment planning.</x:v>
      </x:c>
      <x:c r="X14" s="3" t="str">
        <x:v>Independent model/use validation before an experiment or engineering output is released.</x:v>
      </x:c>
      <x:c r="Y14" s="3" t="str">
        <x:v>Machine damage after an independent experiment-release or engineering verification failure; do not charge that damage again here.</x:v>
      </x:c>
      <x:c r="Z14" s="3" t="str">
        <x:v>assumed_not_verified</x:v>
      </x:c>
      <x:c r="AA14" s="3" t="str">
        <x:v>dr-sp-0015-s5-v1</x:v>
      </x:c>
    </x:row>
    <x:row r="15" ht="44" customHeight="1">
      <x:c r="A15" s="9" t="str">
        <x:v>sp-0016</x:v>
      </x:c>
      <x:c r="B15" s="9" t="str">
        <x:v>S1</x:v>
      </x:c>
      <x:c r="C15" s="12" t="n">
        <x:v>4</x:v>
      </x:c>
      <x:c r="D15" s="12" t="n">
        <x:v>4</x:v>
      </x:c>
      <x:c r="E15" s="12" t="n">
        <x:f>MIN(C15:D15)</x:f>
        <x:v>4</x:v>
      </x:c>
      <x:c r="F15" s="12" t="n">
        <x:f>MAX(C15:D15)</x:f>
        <x:v>4</x:v>
      </x:c>
      <x:c r="G15" s="9" t="str">
        <x:v>missing</x:v>
      </x:c>
      <x:c r="H15" s="12" t="n">
        <x:v>4</x:v>
      </x:c>
      <x:c r="I15" s="12" t="n">
        <x:v>4</x:v>
      </x:c>
      <x:c r="J15" s="9" t="str">
        <x:f>IF(H15=I15,"value","range")</x:f>
        <x:v>value</x:v>
      </x:c>
      <x:c r="K15" s="9" t="str">
        <x:v>high</x:v>
      </x:c>
      <x:c r="L15" s="9" t="str">
        <x:v>supports_current_record</x:v>
      </x:c>
      <x:c r="M15" s="9" t="str">
        <x:v>Information intensity is defensible from scope despite the selection-outcome gap.</x:v>
      </x:c>
      <x:c r="N15" s="9" t="str">
        <x:v>fusion-src-018;fusion-src-019;fusion-src-024</x:v>
      </x:c>
      <x:c r="O15" s="9" t="str">
        <x:v>Revisit if experiment execution becomes part of the stage definition.</x:v>
      </x:c>
      <x:c r="P15" s="9" t="str">
        <x:v>false</x:v>
      </x:c>
      <x:c r="Q15" s="9" t="str">
        <x:v>false</x:v>
      </x:c>
      <x:c r="R15" s="9" t="str">
        <x:v>Experiment selection</x:v>
      </x:c>
      <x:c r="S15" s="9" t="str">
        <x:v>adjacent_stage_analogy;target_programme_status</x:v>
      </x:c>
      <x:c r="T15" s="9" t="str">
        <x:v>observed experimental result; programme announcement</x:v>
      </x:c>
      <x:c r="U15" s="9" t="str">
        <x:v>Ranking and sequencing experiments are inference and decision work. Executing the chosen shots, diagnostics and control are explicitly outside the stage.</x:v>
      </x:c>
      <x:c r="V15" s="9" t="str">
        <x:v>Live control and adaptive experiments illustrate receiving activities, not an observed experiment-selection workflow.</x:v>
      </x:c>
      <x:c r="W15" s="9" t="str">
        <x:v>not_applicable</x:v>
      </x:c>
      <x:c r="X15" s="9" t="str">
        <x:v>not_applicable</x:v>
      </x:c>
      <x:c r="Y15" s="9" t="str">
        <x:v>not_applicable</x:v>
      </x:c>
      <x:c r="Z15" s="9" t="str">
        <x:v>not_applicable</x:v>
      </x:c>
      <x:c r="AA15" s="9" t="str">
        <x:v>dr-sp-0016-s1-v1</x:v>
      </x:c>
    </x:row>
    <x:row r="16" ht="60" customHeight="1">
      <x:c r="A16" s="3" t="str">
        <x:v>sp-0016</x:v>
      </x:c>
      <x:c r="B16" s="3" t="str">
        <x:v>S2</x:v>
      </x:c>
      <x:c r="C16" s="13" t="n">
        <x:v>1</x:v>
      </x:c>
      <x:c r="D16" s="13" t="n">
        <x:v>2</x:v>
      </x:c>
      <x:c r="E16" s="13" t="n">
        <x:f>MIN(C16:D16)</x:f>
        <x:v>1</x:v>
      </x:c>
      <x:c r="F16" s="13" t="n">
        <x:f>MAX(C16:D16)</x:f>
        <x:v>2</x:v>
      </x:c>
      <x:c r="G16" s="3" t="str">
        <x:v>prefer_seed</x:v>
      </x:c>
      <x:c r="H16" s="13" t="n">
        <x:v>1</x:v>
      </x:c>
      <x:c r="I16" s="13" t="n">
        <x:v>2</x:v>
      </x:c>
      <x:c r="J16" s="3" t="str">
        <x:f>IF(H16=I16,"value","range")</x:f>
        <x:v>range</x:v>
      </x:c>
      <x:c r="K16" s="3" t="str">
        <x:v>low</x:v>
      </x:c>
      <x:c r="L16" s="3" t="str">
        <x:v>requires_human_expert</x:v>
      </x:c>
      <x:c r="M16" s="3" t="str">
        <x:v>Recommend 1-2 for later adjudication while asking a campaign specialist to identify the ordinary loop.</x:v>
      </x:c>
      <x:c r="N16" s="3" t="str">
        <x:v>fusion-src-018;fusion-src-019;fusion-src-024</x:v>
      </x:c>
      <x:c r="O16" s="3" t="str">
        <x:v>A facility-linked selection log with proposal, shot, analysis and revision dates, including unsuccessful selections.</x:v>
      </x:c>
      <x:c r="P16" s="3" t="str">
        <x:v>true</x:v>
      </x:c>
      <x:c r="Q16" s="3" t="str">
        <x:v>true</x:v>
      </x:c>
      <x:c r="R16" s="3" t="str">
        <x:v>Experiment selection</x:v>
      </x:c>
      <x:c r="S16" s="3" t="str">
        <x:v>adjacent_stage_analogy;target_programme_status</x:v>
      </x:c>
      <x:c r="T16" s="3" t="str">
        <x:v>observed experimental result; programme announcement</x:v>
      </x:c>
      <x:c r="U16" s="3" t="str">
        <x:v>Selection quality is learned from completed shots and analysis, not the speed of editing a plan. The owner preference for 1 is preserved; the canonical set does not discriminate many-month campaign feedback from weeks-to-months feedback.</x:v>
      </x:c>
      <x:c r="V16" s="3" t="str">
        <x:v>Control demonstrations and a proposed platform do not measure an AI-shortened experiment-selection cycle.</x:v>
      </x:c>
      <x:c r="W16" s="3" t="str">
        <x:v>not_applicable</x:v>
      </x:c>
      <x:c r="X16" s="3" t="str">
        <x:v>not_applicable</x:v>
      </x:c>
      <x:c r="Y16" s="3" t="str">
        <x:v>not_applicable</x:v>
      </x:c>
      <x:c r="Z16" s="3" t="str">
        <x:v>not_applicable</x:v>
      </x:c>
      <x:c r="AA16" s="3" t="str">
        <x:v>dr-sp-0016-s2-v1</x:v>
      </x:c>
    </x:row>
    <x:row r="17" ht="60" customHeight="1">
      <x:c r="A17" s="9" t="str">
        <x:v>sp-0016</x:v>
      </x:c>
      <x:c r="B17" s="9" t="str">
        <x:v>S3</x:v>
      </x:c>
      <x:c r="C17" s="12" t="n">
        <x:v>1</x:v>
      </x:c>
      <x:c r="D17" s="12" t="n">
        <x:v>2</x:v>
      </x:c>
      <x:c r="E17" s="12" t="n">
        <x:f>MIN(C17:D17)</x:f>
        <x:v>1</x:v>
      </x:c>
      <x:c r="F17" s="12" t="n">
        <x:f>MAX(C17:D17)</x:f>
        <x:v>2</x:v>
      </x:c>
      <x:c r="G17" s="9" t="str">
        <x:v>prefer_independent</x:v>
      </x:c>
      <x:c r="H17" s="12" t="n">
        <x:v>2</x:v>
      </x:c>
      <x:c r="I17" s="12" t="n">
        <x:v>2</x:v>
      </x:c>
      <x:c r="J17" s="9" t="str">
        <x:f>IF(H17=I17,"value","range")</x:f>
        <x:v>value</x:v>
      </x:c>
      <x:c r="K17" s="9" t="str">
        <x:v>medium</x:v>
      </x:c>
      <x:c r="L17" s="9" t="str">
        <x:v>supports_current_record</x:v>
      </x:c>
      <x:c r="M17" s="9" t="str">
        <x:v>Owner preference for independent 2 handles the cost-throughput divergence.</x:v>
      </x:c>
      <x:c r="N17" s="9" t="str">
        <x:v>fusion-src-018;fusion-src-019</x:v>
      </x:c>
      <x:c r="O17" s="9" t="str">
        <x:v>Obtain marginal selection/shot costs and validated selection attempts per campaign, without counting candidate plans as completed tests.</x:v>
      </x:c>
      <x:c r="P17" s="9" t="str">
        <x:v>false</x:v>
      </x:c>
      <x:c r="Q17" s="9" t="str">
        <x:v>false</x:v>
      </x:c>
      <x:c r="R17" s="9" t="str">
        <x:v>Experiment selection</x:v>
      </x:c>
      <x:c r="S17" s="9" t="str">
        <x:v>adjacent_stage_analogy</x:v>
      </x:c>
      <x:c r="T17" s="9" t="str">
        <x:v>observed experimental result</x:v>
      </x:c>
      <x:c r="U17" s="9" t="str">
        <x:v>Generating candidate plans is cheap and parallel. Validating a plan consumes scarce shots, but repeatable experiments do exist; neither an unlimited 4 nor treating every proposal as one irreplaceable facility is justified.</x:v>
      </x:c>
      <x:c r="V17" s="9" t="str">
        <x:v>Reported experimental sequences support repeatability only qualitatively; they do not price selection attempts or quantify annual throughput.</x:v>
      </x:c>
      <x:c r="W17" s="9" t="str">
        <x:v>not_applicable</x:v>
      </x:c>
      <x:c r="X17" s="9" t="str">
        <x:v>not_applicable</x:v>
      </x:c>
      <x:c r="Y17" s="9" t="str">
        <x:v>not_applicable</x:v>
      </x:c>
      <x:c r="Z17" s="9" t="str">
        <x:v>not_applicable</x:v>
      </x:c>
      <x:c r="AA17" s="9" t="str">
        <x:v>dr-sp-0016-s3-v1</x:v>
      </x:c>
    </x:row>
    <x:row r="18" ht="44" customHeight="1">
      <x:c r="A18" s="3" t="str">
        <x:v>sp-0016</x:v>
      </x:c>
      <x:c r="B18" s="3" t="str">
        <x:v>S4</x:v>
      </x:c>
      <x:c r="C18" s="13" t="n">
        <x:v>3</x:v>
      </x:c>
      <x:c r="D18" s="13" t="n">
        <x:v>4</x:v>
      </x:c>
      <x:c r="E18" s="13" t="n">
        <x:f>MIN(C18:D18)</x:f>
        <x:v>3</x:v>
      </x:c>
      <x:c r="F18" s="13" t="n">
        <x:f>MAX(C18:D18)</x:f>
        <x:v>4</x:v>
      </x:c>
      <x:c r="G18" s="3" t="str">
        <x:v>prefer_independent</x:v>
      </x:c>
      <x:c r="H18" s="13" t="n">
        <x:v>4</x:v>
      </x:c>
      <x:c r="I18" s="13" t="n">
        <x:v>4</x:v>
      </x:c>
      <x:c r="J18" s="3" t="str">
        <x:f>IF(H18=I18,"value","range")</x:f>
        <x:v>value</x:v>
      </x:c>
      <x:c r="K18" s="3" t="str">
        <x:v>high</x:v>
      </x:c>
      <x:c r="L18" s="3" t="str">
        <x:v>supports_current_record</x:v>
      </x:c>
      <x:c r="M18" s="3" t="str">
        <x:v>Support the owner preference for 4; do not manufacture closure of the empirical selection gap.</x:v>
      </x:c>
      <x:c r="N18" s="3" t="str">
        <x:v>missing</x:v>
      </x:c>
      <x:c r="O18" s="3" t="str">
        <x:v>Revisit if a future pathway explicitly includes physical execution inside selection.</x:v>
      </x:c>
      <x:c r="P18" s="3" t="str">
        <x:v>false</x:v>
      </x:c>
      <x:c r="Q18" s="3" t="str">
        <x:v>false</x:v>
      </x:c>
      <x:c r="R18" s="3" t="str">
        <x:v>Experiment selection</x:v>
      </x:c>
      <x:c r="S18" s="3" t="str">
        <x:v>absent</x:v>
      </x:c>
      <x:c r="T18" s="3" t="str">
        <x:v>No directly relevant canonical source located</x:v>
      </x:c>
      <x:c r="U18" s="3" t="str">
        <x:v>Physical execution is excluded. Device scheduling and campaign availability constrain S2/S3 but supply no physical process inside experiment selection.</x:v>
      </x:c>
      <x:c r="V18" s="3" t="str">
        <x:v>No direct empirical S4 source is located; the frozen exclusion and owner disposition resolve the rubric interpretation only.</x:v>
      </x:c>
      <x:c r="W18" s="3" t="str">
        <x:v>not_applicable</x:v>
      </x:c>
      <x:c r="X18" s="3" t="str">
        <x:v>not_applicable</x:v>
      </x:c>
      <x:c r="Y18" s="3" t="str">
        <x:v>not_applicable</x:v>
      </x:c>
      <x:c r="Z18" s="3" t="str">
        <x:v>not_applicable</x:v>
      </x:c>
      <x:c r="AA18" s="3" t="str">
        <x:v>dr-sp-0016-s4-v1</x:v>
      </x:c>
    </x:row>
    <x:row r="19" ht="76" customHeight="1">
      <x:c r="A19" s="9" t="str">
        <x:v>sp-0016</x:v>
      </x:c>
      <x:c r="B19" s="9" t="str">
        <x:v>S5</x:v>
      </x:c>
      <x:c r="C19" s="12" t="n">
        <x:v>2</x:v>
      </x:c>
      <x:c r="D19" s="12" t="n">
        <x:v>2</x:v>
      </x:c>
      <x:c r="E19" s="12" t="n">
        <x:f>MIN(C19:D19)</x:f>
        <x:v>2</x:v>
      </x:c>
      <x:c r="F19" s="12" t="n">
        <x:f>MAX(C19:D19)</x:f>
        <x:v>2</x:v>
      </x:c>
      <x:c r="G19" s="9" t="str">
        <x:v>missing</x:v>
      </x:c>
      <x:c r="H19" s="12" t="n">
        <x:v>2</x:v>
      </x:c>
      <x:c r="I19" s="12" t="n">
        <x:v>2</x:v>
      </x:c>
      <x:c r="J19" s="9" t="str">
        <x:f>IF(H19=I19,"value","range")</x:f>
        <x:v>value</x:v>
      </x:c>
      <x:c r="K19" s="9" t="str">
        <x:v>medium</x:v>
      </x:c>
      <x:c r="L19" s="9" t="str">
        <x:v>supports_current_record</x:v>
      </x:c>
      <x:c r="M19" s="9" t="str">
        <x:v>Material lost experimental opportunity supports 2 under the stated boundary assumption.</x:v>
      </x:c>
      <x:c r="N19" s="9" t="str">
        <x:v>fusion-src-019</x:v>
      </x:c>
      <x:c r="O19" s="9" t="str">
        <x:v>Inspect the experiment-release and campaign-review gates and record which consequences can occur before each.</x:v>
      </x:c>
      <x:c r="P19" s="9" t="str">
        <x:v>false</x:v>
      </x:c>
      <x:c r="Q19" s="9" t="str">
        <x:v>false</x:v>
      </x:c>
      <x:c r="R19" s="9" t="str">
        <x:v>Experiment selection</x:v>
      </x:c>
      <x:c r="S19" s="9" t="str">
        <x:v>adjacent_stage_analogy</x:v>
      </x:c>
      <x:c r="T19" s="9" t="str">
        <x:v>observed experimental result</x:v>
      </x:c>
      <x:c r="U19" s="9" t="str">
        <x:v>A poor selection can waste allocated shots before the next independent campaign decision. A physically unsafe shot should encounter an independent experiment-release/control boundary; do not assume all selection errors are harmless, or import harms past that boundary.</x:v>
      </x:c>
      <x:c r="V19" s="9" t="str">
        <x:v>Adaptive shot experiments are contextual evidence of the receiving workflow, not a verified selection assurance architecture.</x:v>
      </x:c>
      <x:c r="W19" s="9" t="str">
        <x:v>Misallocated shots and delayed learning before campaign review; unsafe proposals only up to the independent release check.</x:v>
      </x:c>
      <x:c r="X19" s="9" t="str">
        <x:v>Independent experiment-release safety/control check; for scientific priority, independent campaign review.</x:v>
      </x:c>
      <x:c r="Y19" s="9" t="str">
        <x:v>Disruption or plant injury requiring a subsequent independent shot-safety/control failure.</x:v>
      </x:c>
      <x:c r="Z19" s="9" t="str">
        <x:v>assumed_not_verified</x:v>
      </x:c>
      <x:c r="AA19" s="9" t="str">
        <x:v>dr-sp-0016-s5-v1</x:v>
      </x:c>
    </x:row>
    <x:row r="20" ht="60" customHeight="1">
      <x:c r="A20" s="3" t="str">
        <x:v>sp-0017</x:v>
      </x:c>
      <x:c r="B20" s="3" t="str">
        <x:v>S1</x:v>
      </x:c>
      <x:c r="C20" s="13" t="n">
        <x:v>3</x:v>
      </x:c>
      <x:c r="D20" s="13" t="n">
        <x:v>2</x:v>
      </x:c>
      <x:c r="E20" s="13" t="n">
        <x:f>MIN(C20:D20)</x:f>
        <x:v>2</x:v>
      </x:c>
      <x:c r="F20" s="13" t="n">
        <x:f>MAX(C20:D20)</x:f>
        <x:v>3</x:v>
      </x:c>
      <x:c r="G20" s="3" t="str">
        <x:v>missing</x:v>
      </x:c>
      <x:c r="H20" s="13" t="n">
        <x:v>2</x:v>
      </x:c>
      <x:c r="I20" s="13" t="n">
        <x:v>3</x:v>
      </x:c>
      <x:c r="J20" s="3" t="str">
        <x:f>IF(H20=I20,"value","range")</x:f>
        <x:v>range</x:v>
      </x:c>
      <x:c r="K20" s="3" t="str">
        <x:v>medium</x:v>
      </x:c>
      <x:c r="L20" s="3" t="str">
        <x:v>recommends_range</x:v>
      </x:c>
      <x:c r="M20" s="3" t="str">
        <x:v>Do not generalize information-rich diagnostic benchmarks to the entire measurement workflow.</x:v>
      </x:c>
      <x:c r="N20" s="3" t="str">
        <x:v>fusion-src-021;fusion-src-009;fusion-src-029</x:v>
      </x:c>
      <x:c r="O20" s="3" t="str">
        <x:v>A scoped diagnostic workflow inventory separating preparation, measurement and interpretation.</x:v>
      </x:c>
      <x:c r="P20" s="3" t="str">
        <x:v>false</x:v>
      </x:c>
      <x:c r="Q20" s="3" t="str">
        <x:v>false</x:v>
      </x:c>
      <x:c r="R20" s="3" t="str">
        <x:v>Diagnostics</x:v>
      </x:c>
      <x:c r="S20" s="3" t="str">
        <x:v>exact_stage;adjacent_stage_analogy</x:v>
      </x:c>
      <x:c r="T20" s="3" t="str">
        <x:v>proof of concept; observed facility milestone</x:v>
      </x:c>
      <x:c r="U20" s="3" t="str">
        <x:v>Diagnostic interpretation and reconstruction are informational; preparing, calibrating and using measurement systems also advances the frozen stage. Retain 2-3 because the balance is not measured.</x:v>
      </x:c>
      <x:c r="V20" s="3" t="str">
        <x:v>Retrospective reconstruction and classification cover the analytical subset. Operator-reported upgrades cover hardware only by adjacent example.</x:v>
      </x:c>
      <x:c r="W20" s="3" t="str">
        <x:v>not_applicable</x:v>
      </x:c>
      <x:c r="X20" s="3" t="str">
        <x:v>not_applicable</x:v>
      </x:c>
      <x:c r="Y20" s="3" t="str">
        <x:v>not_applicable</x:v>
      </x:c>
      <x:c r="Z20" s="3" t="str">
        <x:v>not_applicable</x:v>
      </x:c>
      <x:c r="AA20" s="3" t="str">
        <x:v>dr-sp-0017-s1-v1</x:v>
      </x:c>
    </x:row>
    <x:row r="21" ht="60" customHeight="1">
      <x:c r="A21" s="9" t="str">
        <x:v>sp-0017</x:v>
      </x:c>
      <x:c r="B21" s="9" t="str">
        <x:v>S2</x:v>
      </x:c>
      <x:c r="C21" s="12" t="n">
        <x:v>2</x:v>
      </x:c>
      <x:c r="D21" s="12" t="n">
        <x:v>2</x:v>
      </x:c>
      <x:c r="E21" s="12" t="n">
        <x:f>MIN(C21:D21)</x:f>
        <x:v>2</x:v>
      </x:c>
      <x:c r="F21" s="12" t="n">
        <x:f>MAX(C21:D21)</x:f>
        <x:v>2</x:v>
      </x:c>
      <x:c r="G21" s="9" t="str">
        <x:v>missing</x:v>
      </x:c>
      <x:c r="H21" s="12" t="n">
        <x:v>2</x:v>
      </x:c>
      <x:c r="I21" s="12" t="n">
        <x:v>2</x:v>
      </x:c>
      <x:c r="J21" s="9" t="str">
        <x:f>IF(H21=I21,"value","range")</x:f>
        <x:v>value</x:v>
      </x:c>
      <x:c r="K21" s="9" t="str">
        <x:v>low</x:v>
      </x:c>
      <x:c r="L21" s="9" t="str">
        <x:v>insufficient_evidence</x:v>
      </x:c>
      <x:c r="M21" s="9" t="str">
        <x:v>Keep 2 provisional; no stage-level cadence is measured by the cited benchmarks.</x:v>
      </x:c>
      <x:c r="N21" s="9" t="str">
        <x:v>fusion-src-008;fusion-src-021;fusion-src-029</x:v>
      </x:c>
      <x:c r="O21" s="9" t="str">
        <x:v>Timed calibration, measurement and revision records for a representative research diagnostic.</x:v>
      </x:c>
      <x:c r="P21" s="9" t="str">
        <x:v>false</x:v>
      </x:c>
      <x:c r="Q21" s="9" t="str">
        <x:v>false</x:v>
      </x:c>
      <x:c r="R21" s="9" t="str">
        <x:v>Diagnostics</x:v>
      </x:c>
      <x:c r="S21" s="9" t="str">
        <x:v>exact_stage;adjacent_stage_analogy</x:v>
      </x:c>
      <x:c r="T21" s="9" t="str">
        <x:v>proof of concept; observed facility milestone</x:v>
      </x:c>
      <x:c r="U21" s="9" t="str">
        <x:v>Sampling frequency, predictor warning time and reconstruction latency are not the ordinary prepare-measure-calibrate-revise cycle. The consensus 2 is only a candidate pending workflow timing.</x:v>
      </x:c>
      <x:c r="V21" s="9" t="str">
        <x:v>The bank calls some S2 support direct, but the measured quantities concern inference or warning, not full-cycle feedback.</x:v>
      </x:c>
      <x:c r="W21" s="9" t="str">
        <x:v>not_applicable</x:v>
      </x:c>
      <x:c r="X21" s="9" t="str">
        <x:v>not_applicable</x:v>
      </x:c>
      <x:c r="Y21" s="9" t="str">
        <x:v>not_applicable</x:v>
      </x:c>
      <x:c r="Z21" s="9" t="str">
        <x:v>not_applicable</x:v>
      </x:c>
      <x:c r="AA21" s="9" t="str">
        <x:v>dr-sp-0017-s2-v1</x:v>
      </x:c>
    </x:row>
    <x:row r="22" ht="60" customHeight="1">
      <x:c r="A22" s="3" t="str">
        <x:v>sp-0017</x:v>
      </x:c>
      <x:c r="B22" s="3" t="str">
        <x:v>S3</x:v>
      </x:c>
      <x:c r="C22" s="13" t="n">
        <x:v>2</x:v>
      </x:c>
      <x:c r="D22" s="13" t="n">
        <x:v>1</x:v>
      </x:c>
      <x:c r="E22" s="13" t="n">
        <x:f>MIN(C22:D22)</x:f>
        <x:v>1</x:v>
      </x:c>
      <x:c r="F22" s="13" t="n">
        <x:f>MAX(C22:D22)</x:f>
        <x:v>2</x:v>
      </x:c>
      <x:c r="G22" s="3" t="str">
        <x:v>missing</x:v>
      </x:c>
      <x:c r="H22" s="13" t="n">
        <x:v>1</x:v>
      </x:c>
      <x:c r="I22" s="13" t="n">
        <x:v>2</x:v>
      </x:c>
      <x:c r="J22" s="3" t="str">
        <x:f>IF(H22=I22,"value","range")</x:f>
        <x:v>range</x:v>
      </x:c>
      <x:c r="K22" s="3" t="str">
        <x:v>low</x:v>
      </x:c>
      <x:c r="L22" s="3" t="str">
        <x:v>recommends_range</x:v>
      </x:c>
      <x:c r="M22" s="3" t="str">
        <x:v>Retain cost-throughput divergence rather than reading dataset size as affordable experimentation.</x:v>
      </x:c>
      <x:c r="N22" s="3" t="str">
        <x:v>fusion-src-021;fusion-src-009;fusion-src-029</x:v>
      </x:c>
      <x:c r="O22" s="3" t="str">
        <x:v>A costed diagnostic revision case with physical and reanalysis attempt counts distinguished.</x:v>
      </x:c>
      <x:c r="P22" s="3" t="str">
        <x:v>false</x:v>
      </x:c>
      <x:c r="Q22" s="3" t="str">
        <x:v>false</x:v>
      </x:c>
      <x:c r="R22" s="3" t="str">
        <x:v>Diagnostics</x:v>
      </x:c>
      <x:c r="S22" s="3" t="str">
        <x:v>exact_stage;adjacent_stage_analogy</x:v>
      </x:c>
      <x:c r="T22" s="3" t="str">
        <x:v>proof of concept; observed facility milestone</x:v>
      </x:c>
      <x:c r="U22" s="3" t="str">
        <x:v>Archived-data reanalysis is cheap and parallel; new measurements and hardware changes consume instruments, specialist effort and facility access. Both 1 and 2 are defensible depending on the decisive physical attempt set.</x:v>
      </x:c>
      <x:c r="V22" s="3" t="str">
        <x:v>Thousands of historical discharges are a dataset denominator, not obtainable new-shot throughput.</x:v>
      </x:c>
      <x:c r="W22" s="3" t="str">
        <x:v>not_applicable</x:v>
      </x:c>
      <x:c r="X22" s="3" t="str">
        <x:v>not_applicable</x:v>
      </x:c>
      <x:c r="Y22" s="3" t="str">
        <x:v>not_applicable</x:v>
      </x:c>
      <x:c r="Z22" s="3" t="str">
        <x:v>not_applicable</x:v>
      </x:c>
      <x:c r="AA22" s="3" t="str">
        <x:v>dr-sp-0017-s3-v1</x:v>
      </x:c>
    </x:row>
    <x:row r="23" ht="60" customHeight="1">
      <x:c r="A23" s="9" t="str">
        <x:v>sp-0017</x:v>
      </x:c>
      <x:c r="B23" s="9" t="str">
        <x:v>S4</x:v>
      </x:c>
      <x:c r="C23" s="12" t="n">
        <x:v>2</x:v>
      </x:c>
      <x:c r="D23" s="12" t="n">
        <x:v>2</x:v>
      </x:c>
      <x:c r="E23" s="12" t="n">
        <x:f>MIN(C23:D23)</x:f>
        <x:v>2</x:v>
      </x:c>
      <x:c r="F23" s="12" t="n">
        <x:f>MAX(C23:D23)</x:f>
        <x:v>2</x:v>
      </x:c>
      <x:c r="G23" s="9" t="str">
        <x:v>missing</x:v>
      </x:c>
      <x:c r="H23" s="12" t="n">
        <x:v>2</x:v>
      </x:c>
      <x:c r="I23" s="12" t="n">
        <x:v>2</x:v>
      </x:c>
      <x:c r="J23" s="9" t="str">
        <x:f>IF(H23=I23,"value","range")</x:f>
        <x:v>value</x:v>
      </x:c>
      <x:c r="K23" s="9" t="str">
        <x:v>medium</x:v>
      </x:c>
      <x:c r="L23" s="9" t="str">
        <x:v>supports_current_record</x:v>
      </x:c>
      <x:c r="M23" s="9" t="str">
        <x:v>Support 2 with a narrowed physical rationale, excluding generic shutdown scheduling.</x:v>
      </x:c>
      <x:c r="N23" s="9" t="str">
        <x:v>fusion-src-029</x:v>
      </x:c>
      <x:c r="O23" s="9" t="str">
        <x:v>Identify actual preparation and calibration durations separately from access and procurement waits.</x:v>
      </x:c>
      <x:c r="P23" s="9" t="str">
        <x:v>false</x:v>
      </x:c>
      <x:c r="Q23" s="9" t="str">
        <x:v>false</x:v>
      </x:c>
      <x:c r="R23" s="9" t="str">
        <x:v>Diagnostics</x:v>
      </x:c>
      <x:c r="S23" s="9" t="str">
        <x:v>adjacent_stage_analogy</x:v>
      </x:c>
      <x:c r="T23" s="9" t="str">
        <x:v>observed facility milestone</x:v>
      </x:c>
      <x:c r="U23" s="9" t="str">
        <x:v>Calibration and hardware preparation impose physical delay inside diagnostic use; administrative access queues do not. The stage also contains extensive analysis without a physical floor, supporting the mixed 2.</x:v>
      </x:c>
      <x:c r="V23" s="9" t="str">
        <x:v>An operator-reported upgrade shows hardware work but does not measure a universal preparation floor.</x:v>
      </x:c>
      <x:c r="W23" s="9" t="str">
        <x:v>not_applicable</x:v>
      </x:c>
      <x:c r="X23" s="9" t="str">
        <x:v>not_applicable</x:v>
      </x:c>
      <x:c r="Y23" s="9" t="str">
        <x:v>not_applicable</x:v>
      </x:c>
      <x:c r="Z23" s="9" t="str">
        <x:v>not_applicable</x:v>
      </x:c>
      <x:c r="AA23" s="9" t="str">
        <x:v>dr-sp-0017-s4-v1</x:v>
      </x:c>
    </x:row>
    <x:row r="24" ht="60" customHeight="1">
      <x:c r="A24" s="3" t="str">
        <x:v>sp-0017</x:v>
      </x:c>
      <x:c r="B24" s="3" t="str">
        <x:v>S5</x:v>
      </x:c>
      <x:c r="C24" s="13" t="n">
        <x:v>2</x:v>
      </x:c>
      <x:c r="D24" s="13" t="n">
        <x:v>2</x:v>
      </x:c>
      <x:c r="E24" s="13" t="n">
        <x:f>MIN(C24:D24)</x:f>
        <x:v>2</x:v>
      </x:c>
      <x:c r="F24" s="13" t="n">
        <x:f>MAX(C24:D24)</x:f>
        <x:v>2</x:v>
      </x:c>
      <x:c r="G24" s="3" t="str">
        <x:v>missing</x:v>
      </x:c>
      <x:c r="H24" s="13" t="n">
        <x:v>2</x:v>
      </x:c>
      <x:c r="I24" s="13" t="n">
        <x:v>2</x:v>
      </x:c>
      <x:c r="J24" s="3" t="str">
        <x:f>IF(H24=I24,"value","range")</x:f>
        <x:v>value</x:v>
      </x:c>
      <x:c r="K24" s="3" t="str">
        <x:v>medium</x:v>
      </x:c>
      <x:c r="L24" s="3" t="str">
        <x:v>supports_current_record</x:v>
      </x:c>
      <x:c r="M24" s="3" t="str">
        <x:v>Material data loss and bounded downstream misdirection are compatible with 2, not a universal safe-instrument claim.</x:v>
      </x:c>
      <x:c r="N24" s="3" t="str">
        <x:v>fusion-src-008;fusion-src-020;fusion-src-021</x:v>
      </x:c>
      <x:c r="O24" s="3" t="str">
        <x:v>Revisit if diagnostic output becomes a sole safety input without independent plausibility or protection checks.</x:v>
      </x:c>
      <x:c r="P24" s="3" t="str">
        <x:v>false</x:v>
      </x:c>
      <x:c r="Q24" s="3" t="str">
        <x:v>false</x:v>
      </x:c>
      <x:c r="R24" s="3" t="str">
        <x:v>Diagnostics</x:v>
      </x:c>
      <x:c r="S24" s="3" t="str">
        <x:v>exact_stage</x:v>
      </x:c>
      <x:c r="T24" s="3" t="str">
        <x:v>proof of concept</x:v>
      </x:c>
      <x:c r="U24" s="3" t="str">
        <x:v>Miscalibration or erroneous inference can spoil a dataset and mislead a receiving control decision before independent signal plausibility/protection checks. Research diagnostics are not thereby qualified safety instrumentation.</x:v>
      </x:c>
      <x:c r="V24" s="3" t="str">
        <x:v>Prediction, offline transfer and retrospective reconstruction do not verify protection independence; 2 assumes research-use checks.</x:v>
      </x:c>
      <x:c r="W24" s="3" t="str">
        <x:v>Invalidated measurements or misdirected immediate decisions before cross-check or protection.</x:v>
      </x:c>
      <x:c r="X24" s="3" t="str">
        <x:v>Independent signal plausibility/diagnostic cross-check and plant protection before consequential actuation.</x:v>
      </x:c>
      <x:c r="Y24" s="3" t="str">
        <x:v>Plant damage requiring separate independent protection to fail; qualified safety instrumentation is outside demonstrated evidence.</x:v>
      </x:c>
      <x:c r="Z24" s="3" t="str">
        <x:v>assumed_not_verified</x:v>
      </x:c>
      <x:c r="AA24" s="3" t="str">
        <x:v>dr-sp-0017-s5-v1</x:v>
      </x:c>
    </x:row>
    <x:row r="25" ht="60" customHeight="1">
      <x:c r="A25" s="9" t="str">
        <x:v>sp-0018</x:v>
      </x:c>
      <x:c r="B25" s="9" t="str">
        <x:v>S1</x:v>
      </x:c>
      <x:c r="C25" s="12" t="n">
        <x:v>3</x:v>
      </x:c>
      <x:c r="D25" s="12" t="n">
        <x:v>2</x:v>
      </x:c>
      <x:c r="E25" s="12" t="n">
        <x:f>MIN(C25:D25)</x:f>
        <x:v>2</x:v>
      </x:c>
      <x:c r="F25" s="12" t="n">
        <x:f>MAX(C25:D25)</x:f>
        <x:v>3</x:v>
      </x:c>
      <x:c r="G25" s="9" t="str">
        <x:v>prefer_independent</x:v>
      </x:c>
      <x:c r="H25" s="12" t="n">
        <x:v>2</x:v>
      </x:c>
      <x:c r="I25" s="12" t="n">
        <x:v>2</x:v>
      </x:c>
      <x:c r="J25" s="9" t="str">
        <x:f>IF(H25=I25,"value","range")</x:f>
        <x:v>value</x:v>
      </x:c>
      <x:c r="K25" s="9" t="str">
        <x:v>high</x:v>
      </x:c>
      <x:c r="L25" s="9" t="str">
        <x:v>supports_current_record</x:v>
      </x:c>
      <x:c r="M25" s="9" t="str">
        <x:v>Support the owner preference for independent 2.</x:v>
      </x:c>
      <x:c r="N25" s="9" t="str">
        <x:v>fusion-src-017;fusion-src-007;fusion-src-018</x:v>
      </x:c>
      <x:c r="O25" s="9" t="str">
        <x:v>Revisit if offline control-design-only and live-operation scopes are explicitly split.</x:v>
      </x:c>
      <x:c r="P25" s="9" t="str">
        <x:v>false</x:v>
      </x:c>
      <x:c r="Q25" s="9" t="str">
        <x:v>false</x:v>
      </x:c>
      <x:c r="R25" s="9" t="str">
        <x:v>Plasma control</x:v>
      </x:c>
      <x:c r="S25" s="9" t="str">
        <x:v>exact_stage</x:v>
      </x:c>
      <x:c r="T25" s="9" t="str">
        <x:v>observed experimental result</x:v>
      </x:c>
      <x:c r="U25" s="9" t="str">
        <x:v>Control development combines software and simulator work with live physical actuation and testing. The frozen inclusion of operation makes 2 more defensible than treating progress as primarily informational.</x:v>
      </x:c>
      <x:c r="V25" s="9" t="str">
        <x:v>TCV, HL-3 and DIII-D show both parts on research tokamaks, not pilot-ready control safety.</x:v>
      </x:c>
      <x:c r="W25" s="9" t="str">
        <x:v>not_applicable</x:v>
      </x:c>
      <x:c r="X25" s="9" t="str">
        <x:v>not_applicable</x:v>
      </x:c>
      <x:c r="Y25" s="9" t="str">
        <x:v>not_applicable</x:v>
      </x:c>
      <x:c r="Z25" s="9" t="str">
        <x:v>not_applicable</x:v>
      </x:c>
      <x:c r="AA25" s="9" t="str">
        <x:v>dr-sp-0018-s1-v1</x:v>
      </x:c>
    </x:row>
    <x:row r="26" ht="60" customHeight="1">
      <x:c r="A26" s="3" t="str">
        <x:v>sp-0018</x:v>
      </x:c>
      <x:c r="B26" s="3" t="str">
        <x:v>S2</x:v>
      </x:c>
      <x:c r="C26" s="13" t="n">
        <x:v>2</x:v>
      </x:c>
      <x:c r="D26" s="13" t="n">
        <x:v>3</x:v>
      </x:c>
      <x:c r="E26" s="13" t="n">
        <x:f>MIN(C26:D26)</x:f>
        <x:v>2</x:v>
      </x:c>
      <x:c r="F26" s="13" t="n">
        <x:f>MAX(C26:D26)</x:f>
        <x:v>3</x:v>
      </x:c>
      <x:c r="G26" s="3" t="str">
        <x:v>prefer_seed</x:v>
      </x:c>
      <x:c r="H26" s="13" t="n">
        <x:v>2</x:v>
      </x:c>
      <x:c r="I26" s="13" t="n">
        <x:v>2</x:v>
      </x:c>
      <x:c r="J26" s="3" t="str">
        <x:f>IF(H26=I26,"value","range")</x:f>
        <x:v>value</x:v>
      </x:c>
      <x:c r="K26" s="3" t="str">
        <x:v>medium</x:v>
      </x:c>
      <x:c r="L26" s="3" t="str">
        <x:v>supports_current_record</x:v>
      </x:c>
      <x:c r="M26" s="3" t="str">
        <x:v>Support owner 2 qualitatively; do not use controller frequency as S2=3 or 4 evidence.</x:v>
      </x:c>
      <x:c r="N26" s="3" t="str">
        <x:v>fusion-src-017;fusion-src-007;fusion-src-019</x:v>
      </x:c>
      <x:c r="O26" s="3" t="str">
        <x:v>Timed controller-development histories from model revision through live validation, with shot and campaign cadence separated.</x:v>
      </x:c>
      <x:c r="P26" s="3" t="str">
        <x:v>false</x:v>
      </x:c>
      <x:c r="Q26" s="3" t="str">
        <x:v>false</x:v>
      </x:c>
      <x:c r="R26" s="3" t="str">
        <x:v>Plasma control</x:v>
      </x:c>
      <x:c r="S26" s="3" t="str">
        <x:v>exact_stage</x:v>
      </x:c>
      <x:c r="T26" s="3" t="str">
        <x:v>observed experimental result</x:v>
      </x:c>
      <x:c r="U26" s="3" t="str">
        <x:v>A 10 kHz or 1 kHz controller updates an actuator; it does not complete a development learning cycle. Validated control revision combines simulator work, shot sequences and evaluation across operating conditions.</x:v>
      </x:c>
      <x:c r="V26" s="3" t="str">
        <x:v>Live research-device tests establish feasibility, not a measured typical campaign-length distribution or pilot transfer.</x:v>
      </x:c>
      <x:c r="W26" s="3" t="str">
        <x:v>not_applicable</x:v>
      </x:c>
      <x:c r="X26" s="3" t="str">
        <x:v>not_applicable</x:v>
      </x:c>
      <x:c r="Y26" s="3" t="str">
        <x:v>not_applicable</x:v>
      </x:c>
      <x:c r="Z26" s="3" t="str">
        <x:v>not_applicable</x:v>
      </x:c>
      <x:c r="AA26" s="3" t="str">
        <x:v>dr-sp-0018-s2-v1</x:v>
      </x:c>
    </x:row>
    <x:row r="27" ht="60" customHeight="1">
      <x:c r="A27" s="9" t="str">
        <x:v>sp-0018</x:v>
      </x:c>
      <x:c r="B27" s="9" t="str">
        <x:v>S3</x:v>
      </x:c>
      <x:c r="C27" s="12" t="n">
        <x:v>1</x:v>
      </x:c>
      <x:c r="D27" s="12" t="n">
        <x:v>1</x:v>
      </x:c>
      <x:c r="E27" s="12" t="n">
        <x:f>MIN(C27:D27)</x:f>
        <x:v>1</x:v>
      </x:c>
      <x:c r="F27" s="12" t="n">
        <x:f>MAX(C27:D27)</x:f>
        <x:v>1</x:v>
      </x:c>
      <x:c r="G27" s="9" t="str">
        <x:v>missing</x:v>
      </x:c>
      <x:c r="H27" s="12" t="n">
        <x:v>1</x:v>
      </x:c>
      <x:c r="I27" s="12" t="n">
        <x:v>2</x:v>
      </x:c>
      <x:c r="J27" s="9" t="str">
        <x:f>IF(H27=I27,"value","range")</x:f>
        <x:v>range</x:v>
      </x:c>
      <x:c r="K27" s="9" t="str">
        <x:v>medium</x:v>
      </x:c>
      <x:c r="L27" s="9" t="str">
        <x:v>recommends_range</x:v>
      </x:c>
      <x:c r="M27" s="9" t="str">
        <x:v>Broaden the shared 1 to 1-2 without averaging or declaring unlimited live throughput.</x:v>
      </x:c>
      <x:c r="N27" s="9" t="str">
        <x:v>fusion-src-017;fusion-src-007;fusion-src-019</x:v>
      </x:c>
      <x:c r="O27" s="9" t="str">
        <x:v>Document simulator trial cost, scarce live validation budget and attainable independent policy tests per campaign.</x:v>
      </x:c>
      <x:c r="P27" s="9" t="str">
        <x:v>false</x:v>
      </x:c>
      <x:c r="Q27" s="9" t="str">
        <x:v>false</x:v>
      </x:c>
      <x:c r="R27" s="9" t="str">
        <x:v>Plasma control</x:v>
      </x:c>
      <x:c r="S27" s="9" t="str">
        <x:v>exact_stage</x:v>
      </x:c>
      <x:c r="T27" s="9" t="str">
        <x:v>observed experimental result</x:v>
      </x:c>
      <x:c r="U27" s="9" t="str">
        <x:v>Simulated policy attempts are inexpensive and parallel; live validation uses costly serial shots. Repeated experimental sequences show that decisive attempts are not equivalent to building a new device each time.</x:v>
      </x:c>
      <x:c r="V27" s="9" t="str">
        <x:v>The papers establish repeatable testing, but no complete cost/available-throughput ledger; 1 remains plausible and 2 cannot be excluded.</x:v>
      </x:c>
      <x:c r="W27" s="9" t="str">
        <x:v>not_applicable</x:v>
      </x:c>
      <x:c r="X27" s="9" t="str">
        <x:v>not_applicable</x:v>
      </x:c>
      <x:c r="Y27" s="9" t="str">
        <x:v>not_applicable</x:v>
      </x:c>
      <x:c r="Z27" s="9" t="str">
        <x:v>not_applicable</x:v>
      </x:c>
      <x:c r="AA27" s="9" t="str">
        <x:v>dr-sp-0018-s3-v1</x:v>
      </x:c>
    </x:row>
    <x:row r="28" ht="44" customHeight="1">
      <x:c r="A28" s="3" t="str">
        <x:v>sp-0018</x:v>
      </x:c>
      <x:c r="B28" s="3" t="str">
        <x:v>S4</x:v>
      </x:c>
      <x:c r="C28" s="13" t="n">
        <x:v>2</x:v>
      </x:c>
      <x:c r="D28" s="13" t="n">
        <x:v>2</x:v>
      </x:c>
      <x:c r="E28" s="13" t="n">
        <x:f>MIN(C28:D28)</x:f>
        <x:v>2</x:v>
      </x:c>
      <x:c r="F28" s="13" t="n">
        <x:f>MAX(C28:D28)</x:f>
        <x:v>2</x:v>
      </x:c>
      <x:c r="G28" s="3" t="str">
        <x:v>missing</x:v>
      </x:c>
      <x:c r="H28" s="13" t="n">
        <x:v>2</x:v>
      </x:c>
      <x:c r="I28" s="13" t="n">
        <x:v>2</x:v>
      </x:c>
      <x:c r="J28" s="3" t="str">
        <x:f>IF(H28=I28,"value","range")</x:f>
        <x:v>value</x:v>
      </x:c>
      <x:c r="K28" s="3" t="str">
        <x:v>medium</x:v>
      </x:c>
      <x:c r="L28" s="3" t="str">
        <x:v>supports_current_record</x:v>
      </x:c>
      <x:c r="M28" s="3" t="str">
        <x:v>Keep 2 as a mixed-process judgment, with no intrinsic floor inferred from administrative campaign spacing.</x:v>
      </x:c>
      <x:c r="N28" s="3" t="str">
        <x:v>fusion-src-017;fusion-src-007</x:v>
      </x:c>
      <x:c r="O28" s="3" t="str">
        <x:v>Measure physical reset/conditioning time separately from facility allocation delays.</x:v>
      </x:c>
      <x:c r="P28" s="3" t="str">
        <x:v>false</x:v>
      </x:c>
      <x:c r="Q28" s="3" t="str">
        <x:v>false</x:v>
      </x:c>
      <x:c r="R28" s="3" t="str">
        <x:v>Plasma control</x:v>
      </x:c>
      <x:c r="S28" s="3" t="str">
        <x:v>exact_stage</x:v>
      </x:c>
      <x:c r="T28" s="3" t="str">
        <x:v>observed experimental result</x:v>
      </x:c>
      <x:c r="U28" s="3" t="str">
        <x:v>Physical plasma preparation, reset and any necessary conditioning coexist with simulator work. Generic access queues and programme shutdowns are removed from the S4 rationale.</x:v>
      </x:c>
      <x:c r="V28" s="3" t="str">
        <x:v>The live-device papers show the physical operation component, not a universal conditioning duration.</x:v>
      </x:c>
      <x:c r="W28" s="3" t="str">
        <x:v>not_applicable</x:v>
      </x:c>
      <x:c r="X28" s="3" t="str">
        <x:v>not_applicable</x:v>
      </x:c>
      <x:c r="Y28" s="3" t="str">
        <x:v>not_applicable</x:v>
      </x:c>
      <x:c r="Z28" s="3" t="str">
        <x:v>not_applicable</x:v>
      </x:c>
      <x:c r="AA28" s="3" t="str">
        <x:v>dr-sp-0018-s4-v1</x:v>
      </x:c>
    </x:row>
    <x:row r="29" ht="76" customHeight="1">
      <x:c r="A29" s="9" t="str">
        <x:v>sp-0018</x:v>
      </x:c>
      <x:c r="B29" s="9" t="str">
        <x:v>S5</x:v>
      </x:c>
      <x:c r="C29" s="12" t="n">
        <x:v>1</x:v>
      </x:c>
      <x:c r="D29" s="12" t="n">
        <x:v>1</x:v>
      </x:c>
      <x:c r="E29" s="12" t="n">
        <x:f>MIN(C29:D29)</x:f>
        <x:v>1</x:v>
      </x:c>
      <x:c r="F29" s="12" t="n">
        <x:f>MAX(C29:D29)</x:f>
        <x:v>1</x:v>
      </x:c>
      <x:c r="G29" s="9" t="str">
        <x:v>missing</x:v>
      </x:c>
      <x:c r="H29" s="12" t="n">
        <x:v>0</x:v>
      </x:c>
      <x:c r="I29" s="12" t="n">
        <x:v>1</x:v>
      </x:c>
      <x:c r="J29" s="9" t="str">
        <x:f>IF(H29=I29,"value","range")</x:f>
        <x:v>range</x:v>
      </x:c>
      <x:c r="K29" s="9" t="str">
        <x:v>low</x:v>
      </x:c>
      <x:c r="L29" s="9" t="str">
        <x:v>requires_human_expert</x:v>
      </x:c>
      <x:c r="M29" s="9" t="str">
        <x:v>Keep 1 as plausible for bounded research-device harm, but retain 0 as a severe direct-consequence possibility pending protection review.</x:v>
      </x:c>
      <x:c r="N29" s="9" t="str">
        <x:v>fusion-src-018;fusion-src-008;fusion-src-020</x:v>
      </x:c>
      <x:c r="O29" s="9" t="str">
        <x:v>An independently reviewed control/protection architecture and bounded failure analysis at the proposed pilot operating envelope.</x:v>
      </x:c>
      <x:c r="P29" s="9" t="str">
        <x:v>true</x:v>
      </x:c>
      <x:c r="Q29" s="9" t="str">
        <x:v>true</x:v>
      </x:c>
      <x:c r="R29" s="9" t="str">
        <x:v>Plasma control</x:v>
      </x:c>
      <x:c r="S29" s="9" t="str">
        <x:v>exact_stage;adjacent_stage_analogy</x:v>
      </x:c>
      <x:c r="T29" s="9" t="str">
        <x:v>observed experimental result; proof of concept</x:v>
      </x:c>
      <x:c r="U29" s="9" t="str">
        <x:v>A control error can directly terminate a shot or cause equipment loading before an independent protection action. The severity depends on stored energy, response latency and what protection is truly independent; proof-of-concept avoidance does not settle that boundary.</x:v>
      </x:c>
      <x:c r="V29" s="9" t="str">
        <x:v>DIII-D live avoidance, EAST prediction and offline cross-device transfer do not constitute a pilot nuclear-safety case.</x:v>
      </x:c>
      <x:c r="W29" s="9" t="str">
        <x:v>Lost discharge and thermal/electromagnetic loading or equipment damage that occurs before protection acts.</x:v>
      </x:c>
      <x:c r="X29" s="9" t="str">
        <x:v>Independent machine protection or shutdown acting on separate detection/control logic.</x:v>
      </x:c>
      <x:c r="Y29" s="9" t="str">
        <x:v>Remote radiological or grid cascades requiring independent plant containment or grid protection to fail.</x:v>
      </x:c>
      <x:c r="Z29" s="9" t="str">
        <x:v>assumed_not_verified</x:v>
      </x:c>
      <x:c r="AA29" s="9" t="str">
        <x:v>dr-sp-0018-s5-v1</x:v>
      </x:c>
    </x:row>
    <x:row r="30" ht="60" customHeight="1">
      <x:c r="A30" s="3" t="str">
        <x:v>sp-0019</x:v>
      </x:c>
      <x:c r="B30" s="3" t="str">
        <x:v>S1</x:v>
      </x:c>
      <x:c r="C30" s="13" t="n">
        <x:v>3</x:v>
      </x:c>
      <x:c r="D30" s="13" t="n">
        <x:v>2</x:v>
      </x:c>
      <x:c r="E30" s="13" t="n">
        <x:f>MIN(C30:D30)</x:f>
        <x:v>2</x:v>
      </x:c>
      <x:c r="F30" s="13" t="n">
        <x:f>MAX(C30:D30)</x:f>
        <x:v>3</x:v>
      </x:c>
      <x:c r="G30" s="3" t="str">
        <x:v>missing</x:v>
      </x:c>
      <x:c r="H30" s="13" t="n">
        <x:v>2</x:v>
      </x:c>
      <x:c r="I30" s="13" t="n">
        <x:v>3</x:v>
      </x:c>
      <x:c r="J30" s="3" t="str">
        <x:f>IF(H30=I30,"value","range")</x:f>
        <x:v>range</x:v>
      </x:c>
      <x:c r="K30" s="3" t="str">
        <x:v>low</x:v>
      </x:c>
      <x:c r="L30" s="3" t="str">
        <x:v>recommends_range</x:v>
      </x:c>
      <x:c r="M30" s="3" t="str">
        <x:v>Preserve 2-3 rather than assuming computational screening dominates.</x:v>
      </x:c>
      <x:c r="N30" s="3" t="str">
        <x:v>fusion-src-027;fusion-src-028</x:v>
      </x:c>
      <x:c r="O30" s="3" t="str">
        <x:v>A fusion-material screening workflow with candidate generation and physical screen activities identified.</x:v>
      </x:c>
      <x:c r="P30" s="3" t="str">
        <x:v>false</x:v>
      </x:c>
      <x:c r="Q30" s="3" t="str">
        <x:v>false</x:v>
      </x:c>
      <x:c r="R30" s="3" t="str">
        <x:v>Materials discovery and screening</x:v>
      </x:c>
      <x:c r="S30" s="3" t="str">
        <x:v>target_programme_status</x:v>
      </x:c>
      <x:c r="T30" s="3" t="str">
        <x:v>programme announcement</x:v>
      </x:c>
      <x:c r="U30" s="3" t="str">
        <x:v>Candidate inference is informational; producing and characterizing screening samples is physical. The evidence does not show whether either predominates across this frozen scope.</x:v>
      </x:c>
      <x:c r="V30" s="3" t="str">
        <x:v>MPEX AI plans and the DOE roadmap are programme evidence, not a measured discovery workflow.</x:v>
      </x:c>
      <x:c r="W30" s="3" t="str">
        <x:v>not_applicable</x:v>
      </x:c>
      <x:c r="X30" s="3" t="str">
        <x:v>not_applicable</x:v>
      </x:c>
      <x:c r="Y30" s="3" t="str">
        <x:v>not_applicable</x:v>
      </x:c>
      <x:c r="Z30" s="3" t="str">
        <x:v>not_applicable</x:v>
      </x:c>
      <x:c r="AA30" s="3" t="str">
        <x:v>dr-sp-0019-s1-v1</x:v>
      </x:c>
    </x:row>
    <x:row r="31" ht="44" customHeight="1">
      <x:c r="A31" s="9" t="str">
        <x:v>sp-0019</x:v>
      </x:c>
      <x:c r="B31" s="9" t="str">
        <x:v>S2</x:v>
      </x:c>
      <x:c r="C31" s="12" t="n">
        <x:v>2</x:v>
      </x:c>
      <x:c r="D31" s="12" t="n">
        <x:v>2</x:v>
      </x:c>
      <x:c r="E31" s="12" t="n">
        <x:f>MIN(C31:D31)</x:f>
        <x:v>2</x:v>
      </x:c>
      <x:c r="F31" s="12" t="n">
        <x:f>MAX(C31:D31)</x:f>
        <x:v>2</x:v>
      </x:c>
      <x:c r="G31" s="9" t="str">
        <x:v>missing</x:v>
      </x:c>
      <x:c r="H31" s="12" t="n">
        <x:v>2</x:v>
      </x:c>
      <x:c r="I31" s="12" t="n">
        <x:v>2</x:v>
      </x:c>
      <x:c r="J31" s="9" t="str">
        <x:f>IF(H31=I31,"value","range")</x:f>
        <x:v>value</x:v>
      </x:c>
      <x:c r="K31" s="9" t="str">
        <x:v>low</x:v>
      </x:c>
      <x:c r="L31" s="9" t="str">
        <x:v>insufficient_evidence</x:v>
      </x:c>
      <x:c r="M31" s="9" t="str">
        <x:v>Do not promote coder agreement into an observed cadence.</x:v>
      </x:c>
      <x:c r="N31" s="9" t="str">
        <x:v>missing</x:v>
      </x:c>
      <x:c r="O31" s="9" t="str">
        <x:v>Dated synthesis/characterization/screen-revision records for specified materials and test conditions.</x:v>
      </x:c>
      <x:c r="P31" s="9" t="str">
        <x:v>false</x:v>
      </x:c>
      <x:c r="Q31" s="9" t="str">
        <x:v>false</x:v>
      </x:c>
      <x:c r="R31" s="9" t="str">
        <x:v>Materials discovery and screening</x:v>
      </x:c>
      <x:c r="S31" s="9" t="str">
        <x:v>absent</x:v>
      </x:c>
      <x:c r="T31" s="9" t="str">
        <x:v>No directly relevant canonical source located</x:v>
      </x:c>
      <x:c r="U31" s="9" t="str">
        <x:v>The ordinary loop must include candidate screening feedback, not just virtual ranking. A weeks-to-months 2 remains provisional; no canonical source measures this loop.</x:v>
      </x:c>
      <x:c r="V31" s="9" t="str">
        <x:v>No directly relevant measured screening cadence is available; qualification exposure times cannot be imported.</x:v>
      </x:c>
      <x:c r="W31" s="9" t="str">
        <x:v>not_applicable</x:v>
      </x:c>
      <x:c r="X31" s="9" t="str">
        <x:v>not_applicable</x:v>
      </x:c>
      <x:c r="Y31" s="9" t="str">
        <x:v>not_applicable</x:v>
      </x:c>
      <x:c r="Z31" s="9" t="str">
        <x:v>not_applicable</x:v>
      </x:c>
      <x:c r="AA31" s="9" t="str">
        <x:v>dr-sp-0019-s2-v1</x:v>
      </x:c>
    </x:row>
    <x:row r="32" ht="60" customHeight="1">
      <x:c r="A32" s="3" t="str">
        <x:v>sp-0019</x:v>
      </x:c>
      <x:c r="B32" s="3" t="str">
        <x:v>S3</x:v>
      </x:c>
      <x:c r="C32" s="13" t="n">
        <x:v>2</x:v>
      </x:c>
      <x:c r="D32" s="13" t="n">
        <x:v>2</x:v>
      </x:c>
      <x:c r="E32" s="13" t="n">
        <x:f>MIN(C32:D32)</x:f>
        <x:v>2</x:v>
      </x:c>
      <x:c r="F32" s="13" t="n">
        <x:f>MAX(C32:D32)</x:f>
        <x:v>2</x:v>
      </x:c>
      <x:c r="G32" s="3" t="str">
        <x:v>missing</x:v>
      </x:c>
      <x:c r="H32" s="13" t="n">
        <x:v>2</x:v>
      </x:c>
      <x:c r="I32" s="13" t="n">
        <x:v>2</x:v>
      </x:c>
      <x:c r="J32" s="3" t="str">
        <x:f>IF(H32=I32,"value","range")</x:f>
        <x:v>value</x:v>
      </x:c>
      <x:c r="K32" s="3" t="str">
        <x:v>low</x:v>
      </x:c>
      <x:c r="L32" s="3" t="str">
        <x:v>insufficient_evidence</x:v>
      </x:c>
      <x:c r="M32" s="3" t="str">
        <x:v>Keep the repeatable-but-resource-consuming candidate value without inventing empirical throughput.</x:v>
      </x:c>
      <x:c r="N32" s="3" t="str">
        <x:v>missing</x:v>
      </x:c>
      <x:c r="O32" s="3" t="str">
        <x:v>A costed screening campaign stating marginal sample cost and attainable parallel batches.</x:v>
      </x:c>
      <x:c r="P32" s="3" t="str">
        <x:v>false</x:v>
      </x:c>
      <x:c r="Q32" s="3" t="str">
        <x:v>false</x:v>
      </x:c>
      <x:c r="R32" s="3" t="str">
        <x:v>Materials discovery and screening</x:v>
      </x:c>
      <x:c r="S32" s="3" t="str">
        <x:v>absent</x:v>
      </x:c>
      <x:c r="T32" s="3" t="str">
        <x:v>No directly relevant canonical source located</x:v>
      </x:c>
      <x:c r="U32" s="3" t="str">
        <x:v>Computational candidate attempts are cheap and parallel; sample production and characterization cost material and instrument time while allowing batches. The consensus 2 is qualitative pending cost and attainable batch throughput evidence.</x:v>
      </x:c>
      <x:c r="V32" s="3" t="str">
        <x:v>No direct screening cost/throughput source; irradiation-qualification capacity is a different stage.</x:v>
      </x:c>
      <x:c r="W32" s="3" t="str">
        <x:v>not_applicable</x:v>
      </x:c>
      <x:c r="X32" s="3" t="str">
        <x:v>not_applicable</x:v>
      </x:c>
      <x:c r="Y32" s="3" t="str">
        <x:v>not_applicable</x:v>
      </x:c>
      <x:c r="Z32" s="3" t="str">
        <x:v>not_applicable</x:v>
      </x:c>
      <x:c r="AA32" s="3" t="str">
        <x:v>dr-sp-0019-s3-v1</x:v>
      </x:c>
    </x:row>
    <x:row r="33" ht="60" customHeight="1">
      <x:c r="A33" s="9" t="str">
        <x:v>sp-0019</x:v>
      </x:c>
      <x:c r="B33" s="9" t="str">
        <x:v>S4</x:v>
      </x:c>
      <x:c r="C33" s="12" t="n">
        <x:v>2</x:v>
      </x:c>
      <x:c r="D33" s="12" t="n">
        <x:v>2</x:v>
      </x:c>
      <x:c r="E33" s="12" t="n">
        <x:f>MIN(C33:D33)</x:f>
        <x:v>2</x:v>
      </x:c>
      <x:c r="F33" s="12" t="n">
        <x:f>MAX(C33:D33)</x:f>
        <x:v>2</x:v>
      </x:c>
      <x:c r="G33" s="9" t="str">
        <x:v>missing</x:v>
      </x:c>
      <x:c r="H33" s="12" t="n">
        <x:v>2</x:v>
      </x:c>
      <x:c r="I33" s="12" t="n">
        <x:v>2</x:v>
      </x:c>
      <x:c r="J33" s="9" t="str">
        <x:f>IF(H33=I33,"value","range")</x:f>
        <x:v>value</x:v>
      </x:c>
      <x:c r="K33" s="9" t="str">
        <x:v>low</x:v>
      </x:c>
      <x:c r="L33" s="9" t="str">
        <x:v>supports_current_record</x:v>
      </x:c>
      <x:c r="M33" s="9" t="str">
        <x:v>2 remains a bounded mixed-process recommendation, not a measured time share.</x:v>
      </x:c>
      <x:c r="N33" s="9" t="str">
        <x:v>fusion-src-027;fusion-src-028</x:v>
      </x:c>
      <x:c r="O33" s="9" t="str">
        <x:v>Revisit with material-specific preparation/exposure protocols or a computational-only pathway.</x:v>
      </x:c>
      <x:c r="P33" s="9" t="str">
        <x:v>false</x:v>
      </x:c>
      <x:c r="Q33" s="9" t="str">
        <x:v>false</x:v>
      </x:c>
      <x:c r="R33" s="9" t="str">
        <x:v>Materials discovery and screening</x:v>
      </x:c>
      <x:c r="S33" s="9" t="str">
        <x:v>target_programme_status</x:v>
      </x:c>
      <x:c r="T33" s="9" t="str">
        <x:v>programme announcement</x:v>
      </x:c>
      <x:c r="U33" s="9" t="str">
        <x:v>Sample preparation and characterization can create meaningful physical delay while computation remains flexible. Multi-year qualification is explicitly excluded, so it cannot lower this row to 0.</x:v>
      </x:c>
      <x:c r="V33" s="9" t="str">
        <x:v>Programme descriptions support the distinction only indirectly; they supply no accepted screening-duration dataset.</x:v>
      </x:c>
      <x:c r="W33" s="9" t="str">
        <x:v>not_applicable</x:v>
      </x:c>
      <x:c r="X33" s="9" t="str">
        <x:v>not_applicable</x:v>
      </x:c>
      <x:c r="Y33" s="9" t="str">
        <x:v>not_applicable</x:v>
      </x:c>
      <x:c r="Z33" s="9" t="str">
        <x:v>not_applicable</x:v>
      </x:c>
      <x:c r="AA33" s="9" t="str">
        <x:v>dr-sp-0019-s4-v1</x:v>
      </x:c>
    </x:row>
    <x:row r="34" ht="60" customHeight="1">
      <x:c r="A34" s="3" t="str">
        <x:v>sp-0019</x:v>
      </x:c>
      <x:c r="B34" s="3" t="str">
        <x:v>S5</x:v>
      </x:c>
      <x:c r="C34" s="13" t="n">
        <x:v>3</x:v>
      </x:c>
      <x:c r="D34" s="13" t="n">
        <x:v>3</x:v>
      </x:c>
      <x:c r="E34" s="13" t="n">
        <x:f>MIN(C34:D34)</x:f>
        <x:v>3</x:v>
      </x:c>
      <x:c r="F34" s="13" t="n">
        <x:f>MAX(C34:D34)</x:f>
        <x:v>3</x:v>
      </x:c>
      <x:c r="G34" s="3" t="str">
        <x:v>missing</x:v>
      </x:c>
      <x:c r="H34" s="13" t="n">
        <x:v>3</x:v>
      </x:c>
      <x:c r="I34" s="13" t="n">
        <x:v>3</x:v>
      </x:c>
      <x:c r="J34" s="3" t="str">
        <x:f>IF(H34=I34,"value","range")</x:f>
        <x:v>value</x:v>
      </x:c>
      <x:c r="K34" s="3" t="str">
        <x:v>low</x:v>
      </x:c>
      <x:c r="L34" s="3" t="str">
        <x:v>supports_current_record</x:v>
      </x:c>
      <x:c r="M34" s="3" t="str">
        <x:v>The shared intermediate 3 is reasonable for recoverable screening with opportunity losses.</x:v>
      </x:c>
      <x:c r="N34" s="3" t="str">
        <x:v>missing</x:v>
      </x:c>
      <x:c r="O34" s="3" t="str">
        <x:v>Revisit if screening bypasses independent qualification or feeds an irreversible commitment directly.</x:v>
      </x:c>
      <x:c r="P34" s="3" t="str">
        <x:v>false</x:v>
      </x:c>
      <x:c r="Q34" s="3" t="str">
        <x:v>false</x:v>
      </x:c>
      <x:c r="R34" s="3" t="str">
        <x:v>Materials discovery and screening</x:v>
      </x:c>
      <x:c r="S34" s="3" t="str">
        <x:v>absent</x:v>
      </x:c>
      <x:c r="T34" s="3" t="str">
        <x:v>No directly relevant canonical source located</x:v>
      </x:c>
      <x:c r="U34" s="3" t="str">
        <x:v>Screening errors can waste samples or prematurely discard useful candidates; false positives should encounter independent qualification. This is more consequential than a free rerun but does not import operating-material failures.</x:v>
      </x:c>
      <x:c r="V34" s="3" t="str">
        <x:v>No source measures screening error consequences; the recommendation is a bounded scope inference.</x:v>
      </x:c>
      <x:c r="W34" s="3" t="str">
        <x:v>Wasted screens, missed candidates and extra qualification preparation before independent qualification.</x:v>
      </x:c>
      <x:c r="X34" s="3" t="str">
        <x:v>Independent materials qualification before a candidate is released for engineering acceptance.</x:v>
      </x:c>
      <x:c r="Y34" s="3" t="str">
        <x:v>Plant-material failure after an independent qualification or fabrication acceptance error.</x:v>
      </x:c>
      <x:c r="Z34" s="3" t="str">
        <x:v>assumed_not_verified</x:v>
      </x:c>
      <x:c r="AA34" s="3" t="str">
        <x:v>dr-sp-0019-s5-v1</x:v>
      </x:c>
    </x:row>
    <x:row r="35" ht="60" customHeight="1">
      <x:c r="A35" s="9" t="str">
        <x:v>sp-0020</x:v>
      </x:c>
      <x:c r="B35" s="9" t="str">
        <x:v>S1</x:v>
      </x:c>
      <x:c r="C35" s="12" t="n">
        <x:v>1</x:v>
      </x:c>
      <x:c r="D35" s="12" t="n">
        <x:v>0</x:v>
      </x:c>
      <x:c r="E35" s="12" t="n">
        <x:f>MIN(C35:D35)</x:f>
        <x:v>0</x:v>
      </x:c>
      <x:c r="F35" s="12" t="n">
        <x:f>MAX(C35:D35)</x:f>
        <x:v>1</x:v>
      </x:c>
      <x:c r="G35" s="9" t="str">
        <x:v>missing</x:v>
      </x:c>
      <x:c r="H35" s="12" t="n">
        <x:v>0</x:v>
      </x:c>
      <x:c r="I35" s="12" t="n">
        <x:v>0</x:v>
      </x:c>
      <x:c r="J35" s="9" t="str">
        <x:f>IF(H35=I35,"value","range")</x:f>
        <x:v>value</x:v>
      </x:c>
      <x:c r="K35" s="9" t="str">
        <x:v>medium</x:v>
      </x:c>
      <x:c r="L35" s="9" t="str">
        <x:v>recommends_value_change</x:v>
      </x:c>
      <x:c r="M35" s="9" t="str">
        <x:v>Prefer independent 0 over seed 1 because the rubric says primarily physical, not exclusively physical.</x:v>
      </x:c>
      <x:c r="N35" s="9" t="str">
        <x:v>fusion-src-045;fusion-src-046</x:v>
      </x:c>
      <x:c r="O35" s="9" t="str">
        <x:v>Revisit if an accepted qualification route can materially replace representative exposure with validated analytical evidence.</x:v>
      </x:c>
      <x:c r="P35" s="9" t="str">
        <x:v>false</x:v>
      </x:c>
      <x:c r="Q35" s="9" t="str">
        <x:v>true</x:v>
      </x:c>
      <x:c r="R35" s="9" t="str">
        <x:v>Materials qualification</x:v>
      </x:c>
      <x:c r="S35" s="9" t="str">
        <x:v>target_programme_status</x:v>
      </x:c>
      <x:c r="T35" s="9" t="str">
        <x:v>model or scenario estimate; official target</x:v>
      </x:c>
      <x:c r="U35" s="9" t="str">
        <x:v>Qualification progress is established primarily by representative exposure and subsequent examination. Test planning and analysis remain essential, but their existence alone does not lift a primarily physical stage above the 0 endpoint.</x:v>
      </x:c>
      <x:c r="V35" s="9" t="str">
        <x:v>IFMIF-DONES directly describes the planned qualification chain; it is neither a completed dataset nor universal validation for all materials.</x:v>
      </x:c>
      <x:c r="W35" s="9" t="str">
        <x:v>not_applicable</x:v>
      </x:c>
      <x:c r="X35" s="9" t="str">
        <x:v>not_applicable</x:v>
      </x:c>
      <x:c r="Y35" s="9" t="str">
        <x:v>not_applicable</x:v>
      </x:c>
      <x:c r="Z35" s="9" t="str">
        <x:v>not_applicable</x:v>
      </x:c>
      <x:c r="AA35" s="9" t="str">
        <x:v>dr-sp-0020-s1-v1</x:v>
      </x:c>
    </x:row>
    <x:row r="36" ht="60" customHeight="1">
      <x:c r="A36" s="3" t="str">
        <x:v>sp-0020</x:v>
      </x:c>
      <x:c r="B36" s="3" t="str">
        <x:v>S2</x:v>
      </x:c>
      <x:c r="C36" s="13" t="n">
        <x:v>0</x:v>
      </x:c>
      <x:c r="D36" s="13" t="n">
        <x:v>0</x:v>
      </x:c>
      <x:c r="E36" s="13" t="n">
        <x:f>MIN(C36:D36)</x:f>
        <x:v>0</x:v>
      </x:c>
      <x:c r="F36" s="13" t="n">
        <x:f>MAX(C36:D36)</x:f>
        <x:v>0</x:v>
      </x:c>
      <x:c r="G36" s="3" t="str">
        <x:v>needs_better_evidence</x:v>
      </x:c>
      <x:c r="H36" s="13" t="n">
        <x:v>0</x:v>
      </x:c>
      <x:c r="I36" s="13" t="n">
        <x:v>0</x:v>
      </x:c>
      <x:c r="J36" s="3" t="str">
        <x:f>IF(H36=I36,"value","range")</x:f>
        <x:v>value</x:v>
      </x:c>
      <x:c r="K36" s="3" t="str">
        <x:v>medium</x:v>
      </x:c>
      <x:c r="L36" s="3" t="str">
        <x:v>supports_current_record</x:v>
      </x:c>
      <x:c r="M36" s="3" t="str">
        <x:v>Support the owner provisional 0 on improved source identity and technical grounds; completed accepted qualification remains missing.</x:v>
      </x:c>
      <x:c r="N36" s="3" t="str">
        <x:v>fusion-src-045;fusion-src-046</x:v>
      </x:c>
      <x:c r="O36" s="3" t="str">
        <x:v>Completion of representative irradiation and examination with a documented acceptance route, or a validated alternative qualification protocol.</x:v>
      </x:c>
      <x:c r="P36" s="3" t="str">
        <x:v>false</x:v>
      </x:c>
      <x:c r="Q36" s="3" t="str">
        <x:v>true</x:v>
      </x:c>
      <x:c r="R36" s="3" t="str">
        <x:v>Materials qualification</x:v>
      </x:c>
      <x:c r="S36" s="3" t="str">
        <x:v>target_programme_status</x:v>
      </x:c>
      <x:c r="T36" s="3" t="str">
        <x:v>model or scenario estimate; official target</x:v>
      </x:c>
      <x:c r="U36" s="3" t="str">
        <x:v>The planned HFTM campaigns require roughly 2.5-3 full-power years for specified damage/volume targets, followed by examination and acceptance. This supports a years-scale candidate 0 independently of construction or facility queues.</x:v>
      </x:c>
      <x:c r="V36" s="3" t="str">
        <x:v>These are design targets, not observed cycles. Eurofer-oriented transmutation matching cannot automatically qualify tungsten, copper or a different pilot load envelope.</x:v>
      </x:c>
      <x:c r="W36" s="3" t="str">
        <x:v>not_applicable</x:v>
      </x:c>
      <x:c r="X36" s="3" t="str">
        <x:v>not_applicable</x:v>
      </x:c>
      <x:c r="Y36" s="3" t="str">
        <x:v>not_applicable</x:v>
      </x:c>
      <x:c r="Z36" s="3" t="str">
        <x:v>not_applicable</x:v>
      </x:c>
      <x:c r="AA36" s="3" t="str">
        <x:v>dr-sp-0020-s2-v1</x:v>
      </x:c>
    </x:row>
    <x:row r="37" ht="76" customHeight="1">
      <x:c r="A37" s="9" t="str">
        <x:v>sp-0020</x:v>
      </x:c>
      <x:c r="B37" s="9" t="str">
        <x:v>S3</x:v>
      </x:c>
      <x:c r="C37" s="12" t="n">
        <x:v>1</x:v>
      </x:c>
      <x:c r="D37" s="12" t="n">
        <x:v>0</x:v>
      </x:c>
      <x:c r="E37" s="12" t="n">
        <x:f>MIN(C37:D37)</x:f>
        <x:v>0</x:v>
      </x:c>
      <x:c r="F37" s="12" t="n">
        <x:f>MAX(C37:D37)</x:f>
        <x:v>1</x:v>
      </x:c>
      <x:c r="G37" s="9" t="str">
        <x:v>missing</x:v>
      </x:c>
      <x:c r="H37" s="12" t="n">
        <x:v>0</x:v>
      </x:c>
      <x:c r="I37" s="12" t="n">
        <x:v>1</x:v>
      </x:c>
      <x:c r="J37" s="9" t="str">
        <x:f>IF(H37=I37,"value","range")</x:f>
        <x:v>range</x:v>
      </x:c>
      <x:c r="K37" s="9" t="str">
        <x:v>low</x:v>
      </x:c>
      <x:c r="L37" s="9" t="str">
        <x:v>requires_pathway_variant</x:v>
      </x:c>
      <x:c r="M37" s="9" t="str">
        <x:v>Preserve 0-1 and route by material/load-envelope qualification pathway rather than claiming zero parallelism.</x:v>
      </x:c>
      <x:c r="N37" s="9" t="str">
        <x:v>fusion-src-045;fusion-src-046</x:v>
      </x:c>
      <x:c r="O37" s="9" t="str">
        <x:v>A material-specific irradiation matrix with achievable volume, campaign costs, examinations and acceptance criteria.</x:v>
      </x:c>
      <x:c r="P37" s="9" t="str">
        <x:v>true</x:v>
      </x:c>
      <x:c r="Q37" s="9" t="str">
        <x:v>true</x:v>
      </x:c>
      <x:c r="R37" s="9" t="str">
        <x:v>Materials qualification</x:v>
      </x:c>
      <x:c r="S37" s="9" t="str">
        <x:v>target_programme_status</x:v>
      </x:c>
      <x:c r="T37" s="9" t="str">
        <x:v>model or scenario estimate; official target</x:v>
      </x:c>
      <x:c r="U37" s="9" t="str">
        <x:v>Adding a small specimen to an irradiation module can have modest marginal cost and batch parallelism. Representative fluence, temperature and material-specific transmutation matching limit usable volume and qualified-result throughput; a specimen count is not an accepted-material count.</x:v>
      </x:c>
      <x:c r="V37" s="9" t="str">
        <x:v>The HFTM targets are limited-volume designs. Eurofer versus tungsten/copper matching materially changes what counts as a useful attempt.</x:v>
      </x:c>
      <x:c r="W37" s="9" t="str">
        <x:v>not_applicable</x:v>
      </x:c>
      <x:c r="X37" s="9" t="str">
        <x:v>not_applicable</x:v>
      </x:c>
      <x:c r="Y37" s="9" t="str">
        <x:v>not_applicable</x:v>
      </x:c>
      <x:c r="Z37" s="9" t="str">
        <x:v>not_applicable</x:v>
      </x:c>
      <x:c r="AA37" s="9" t="str">
        <x:v>dr-sp-0020-s3-v1</x:v>
      </x:c>
    </x:row>
    <x:row r="38" ht="76" customHeight="1">
      <x:c r="A38" s="3" t="str">
        <x:v>sp-0020</x:v>
      </x:c>
      <x:c r="B38" s="3" t="str">
        <x:v>S4</x:v>
      </x:c>
      <x:c r="C38" s="13" t="n">
        <x:v>0</x:v>
      </x:c>
      <x:c r="D38" s="13" t="n">
        <x:v>0</x:v>
      </x:c>
      <x:c r="E38" s="13" t="n">
        <x:f>MIN(C38:D38)</x:f>
        <x:v>0</x:v>
      </x:c>
      <x:c r="F38" s="13" t="n">
        <x:f>MAX(C38:D38)</x:f>
        <x:v>0</x:v>
      </x:c>
      <x:c r="G38" s="3" t="str">
        <x:v>needs_better_evidence</x:v>
      </x:c>
      <x:c r="H38" s="13" t="n">
        <x:v>0</x:v>
      </x:c>
      <x:c r="I38" s="13" t="n">
        <x:v>0</x:v>
      </x:c>
      <x:c r="J38" s="3" t="str">
        <x:f>IF(H38=I38,"value","range")</x:f>
        <x:v>value</x:v>
      </x:c>
      <x:c r="K38" s="3" t="str">
        <x:v>medium</x:v>
      </x:c>
      <x:c r="L38" s="3" t="str">
        <x:v>supports_current_record</x:v>
      </x:c>
      <x:c r="M38" s="3" t="str">
        <x:v>Support owner provisional 0 while preserving the missing accepted dataset.</x:v>
      </x:c>
      <x:c r="N38" s="3" t="str">
        <x:v>fusion-src-045;fusion-src-046;fusion-src-026</x:v>
      </x:c>
      <x:c r="O38" s="3" t="str">
        <x:v>A validated acceleration/qualification equivalence or accepted exposure-plus-examination dataset for the specified material.</x:v>
      </x:c>
      <x:c r="P38" s="3" t="str">
        <x:v>false</x:v>
      </x:c>
      <x:c r="Q38" s="3" t="str">
        <x:v>true</x:v>
      </x:c>
      <x:c r="R38" s="3" t="str">
        <x:v>Materials qualification</x:v>
      </x:c>
      <x:c r="S38" s="3" t="str">
        <x:v>target_programme_status</x:v>
      </x:c>
      <x:c r="T38" s="3" t="str">
        <x:v>model or scenario estimate; official target; programme announcement</x:v>
      </x:c>
      <x:c r="U38" s="3" t="str">
        <x:v>Accumulating representative irradiation damage and then examining irradiated material create physical time floors. Faster analysis does not erase exposure; MPEX plasma exposure does not itself provide the neutron field. Facility construction and scheduling are not the basis for this 0.</x:v>
      </x:c>
      <x:c r="V38" s="3" t="str">
        <x:v>The planned multi-year floor is exact-stage design evidence, subject to dose-rate and spectrum applicability; no completed qualification outcome is inferred.</x:v>
      </x:c>
      <x:c r="W38" s="3" t="str">
        <x:v>not_applicable</x:v>
      </x:c>
      <x:c r="X38" s="3" t="str">
        <x:v>not_applicable</x:v>
      </x:c>
      <x:c r="Y38" s="3" t="str">
        <x:v>not_applicable</x:v>
      </x:c>
      <x:c r="Z38" s="3" t="str">
        <x:v>not_applicable</x:v>
      </x:c>
      <x:c r="AA38" s="3" t="str">
        <x:v>dr-sp-0020-s4-v1</x:v>
      </x:c>
    </x:row>
    <x:row r="39" ht="60" customHeight="1">
      <x:c r="A39" s="9" t="str">
        <x:v>sp-0020</x:v>
      </x:c>
      <x:c r="B39" s="9" t="str">
        <x:v>S5</x:v>
      </x:c>
      <x:c r="C39" s="12" t="n">
        <x:v>1</x:v>
      </x:c>
      <x:c r="D39" s="12" t="n">
        <x:v>0</x:v>
      </x:c>
      <x:c r="E39" s="12" t="n">
        <x:f>MIN(C39:D39)</x:f>
        <x:v>0</x:v>
      </x:c>
      <x:c r="F39" s="12" t="n">
        <x:f>MAX(C39:D39)</x:f>
        <x:v>1</x:v>
      </x:c>
      <x:c r="G39" s="9" t="str">
        <x:v>missing</x:v>
      </x:c>
      <x:c r="H39" s="12" t="n">
        <x:v>0</x:v>
      </x:c>
      <x:c r="I39" s="12" t="n">
        <x:v>1</x:v>
      </x:c>
      <x:c r="J39" s="9" t="str">
        <x:f>IF(H39=I39,"value","range")</x:f>
        <x:v>range</x:v>
      </x:c>
      <x:c r="K39" s="9" t="str">
        <x:v>low</x:v>
      </x:c>
      <x:c r="L39" s="9" t="str">
        <x:v>requires_human_expert</x:v>
      </x:c>
      <x:c r="M39" s="9" t="str">
        <x:v>A bounded 0-1 requires a qualification specialist to distinguish direct irreversible evidence loss from later independent acceptance failures.</x:v>
      </x:c>
      <x:c r="N39" s="9" t="str">
        <x:v>fusion-src-045;fusion-src-046</x:v>
      </x:c>
      <x:c r="O39" s="9" t="str">
        <x:v>An accepted qualification plan specifying responsibility, independent acceptance checks and the consequences of invalid irradiation/examination data.</x:v>
      </x:c>
      <x:c r="P39" s="9" t="str">
        <x:v>true</x:v>
      </x:c>
      <x:c r="Q39" s="9" t="str">
        <x:v>true</x:v>
      </x:c>
      <x:c r="R39" s="9" t="str">
        <x:v>Materials qualification</x:v>
      </x:c>
      <x:c r="S39" s="9" t="str">
        <x:v>target_programme_status</x:v>
      </x:c>
      <x:c r="T39" s="9" t="str">
        <x:v>model or scenario estimate; official target</x:v>
      </x:c>
      <x:c r="U39" s="9" t="str">
        <x:v>An erroneous test matrix can destroy irrecoverable exposure evidence; a false qualification conclusion can misdirect component acceptance before the next independent acceptance check. A failed specimen is informative, not itself a coding error or plant catastrophe.</x:v>
      </x:c>
      <x:c r="V39" s="9" t="str">
        <x:v>The irradiation designs do not establish the independence or coverage of downstream materials acceptance.</x:v>
      </x:c>
      <x:c r="W39" s="9" t="str">
        <x:v>Irrecoverable irradiation/examination loss and wrong immediate acceptance inputs before independent review.</x:v>
      </x:c>
      <x:c r="X39" s="9" t="str">
        <x:v>Independent component-design/material acceptance before a qualification claim authorizes manufacture or service.</x:v>
      </x:c>
      <x:c r="Y39" s="9" t="str">
        <x:v>Plant accidents requiring independent component acceptance, fabrication, commissioning or operating safeguards to fail.</x:v>
      </x:c>
      <x:c r="Z39" s="9" t="str">
        <x:v>assumed_not_verified</x:v>
      </x:c>
      <x:c r="AA39" s="9" t="str">
        <x:v>dr-sp-0020-s5-v1</x:v>
      </x:c>
    </x:row>
    <x:row r="40" ht="60" customHeight="1">
      <x:c r="A40" s="3" t="str">
        <x:v>sp-0021</x:v>
      </x:c>
      <x:c r="B40" s="3" t="str">
        <x:v>S1</x:v>
      </x:c>
      <x:c r="C40" s="13" t="n">
        <x:v>2</x:v>
      </x:c>
      <x:c r="D40" s="13" t="n">
        <x:v>2</x:v>
      </x:c>
      <x:c r="E40" s="13" t="n">
        <x:f>MIN(C40:D40)</x:f>
        <x:v>2</x:v>
      </x:c>
      <x:c r="F40" s="13" t="n">
        <x:f>MAX(C40:D40)</x:f>
        <x:v>2</x:v>
      </x:c>
      <x:c r="G40" s="3" t="str">
        <x:v>missing</x:v>
      </x:c>
      <x:c r="H40" s="13" t="n">
        <x:v>2</x:v>
      </x:c>
      <x:c r="I40" s="13" t="n">
        <x:v>2</x:v>
      </x:c>
      <x:c r="J40" s="3" t="str">
        <x:f>IF(H40=I40,"value","range")</x:f>
        <x:v>value</x:v>
      </x:c>
      <x:c r="K40" s="3" t="str">
        <x:v>medium</x:v>
      </x:c>
      <x:c r="L40" s="3" t="str">
        <x:v>supports_current_record</x:v>
      </x:c>
      <x:c r="M40" s="3" t="str">
        <x:v>Both coders correctly retain a mixed digital/physical 2.</x:v>
      </x:c>
      <x:c r="N40" s="3" t="str">
        <x:v>fusion-src-014</x:v>
      </x:c>
      <x:c r="O40" s="3" t="str">
        <x:v>Revisit on a scoped HTS/LTS magnet variant with a defined development test sequence.</x:v>
      </x:c>
      <x:c r="P40" s="3" t="str">
        <x:v>false</x:v>
      </x:c>
      <x:c r="Q40" s="3" t="str">
        <x:v>false</x:v>
      </x:c>
      <x:c r="R40" s="3" t="str">
        <x:v>Magnets</x:v>
      </x:c>
      <x:c r="S40" s="3" t="str">
        <x:v>exact_stage</x:v>
      </x:c>
      <x:c r="T40" s="3" t="str">
        <x:v>proof of concept</x:v>
      </x:c>
      <x:c r="U40" s="3" t="str">
        <x:v>Magnet design and analysis coexist with conductor, coil and test-article engineering inside development. Neither purely analytical work nor completed-facility operation describes this scope.</x:v>
      </x:c>
      <x:c r="V40" s="3" t="str">
        <x:v>HH70 demonstrates a research HTS magnet development route; transfer to large or compact high-field pilot magnets is limited.</x:v>
      </x:c>
      <x:c r="W40" s="3" t="str">
        <x:v>not_applicable</x:v>
      </x:c>
      <x:c r="X40" s="3" t="str">
        <x:v>not_applicable</x:v>
      </x:c>
      <x:c r="Y40" s="3" t="str">
        <x:v>not_applicable</x:v>
      </x:c>
      <x:c r="Z40" s="3" t="str">
        <x:v>not_applicable</x:v>
      </x:c>
      <x:c r="AA40" s="3" t="str">
        <x:v>dr-sp-0021-s1-v1</x:v>
      </x:c>
    </x:row>
    <x:row r="41" ht="60" customHeight="1">
      <x:c r="A41" s="9" t="str">
        <x:v>sp-0021</x:v>
      </x:c>
      <x:c r="B41" s="9" t="str">
        <x:v>S2</x:v>
      </x:c>
      <x:c r="C41" s="12" t="n">
        <x:v>1</x:v>
      </x:c>
      <x:c r="D41" s="12" t="n">
        <x:v>1</x:v>
      </x:c>
      <x:c r="E41" s="12" t="n">
        <x:f>MIN(C41:D41)</x:f>
        <x:v>1</x:v>
      </x:c>
      <x:c r="F41" s="12" t="n">
        <x:f>MAX(C41:D41)</x:f>
        <x:v>1</x:v>
      </x:c>
      <x:c r="G41" s="9" t="str">
        <x:v>missing</x:v>
      </x:c>
      <x:c r="H41" s="12" t="n">
        <x:v>1</x:v>
      </x:c>
      <x:c r="I41" s="12" t="n">
        <x:v>2</x:v>
      </x:c>
      <x:c r="J41" s="9" t="str">
        <x:f>IF(H41=I41,"value","range")</x:f>
        <x:v>range</x:v>
      </x:c>
      <x:c r="K41" s="9" t="str">
        <x:v>low</x:v>
      </x:c>
      <x:c r="L41" s="9" t="str">
        <x:v>requires_pathway_variant</x:v>
      </x:c>
      <x:c r="M41" s="9" t="str">
        <x:v>Route 1-2 by magnet technology and test scale instead of treating the shared 1 as measured.</x:v>
      </x:c>
      <x:c r="N41" s="9" t="str">
        <x:v>fusion-src-014;fusion-src-012</x:v>
      </x:c>
      <x:c r="O41" s="9" t="str">
        <x:v>A completed prototype test/revision history for each proposed conductor/coil pathway.</x:v>
      </x:c>
      <x:c r="P41" s="9" t="str">
        <x:v>false</x:v>
      </x:c>
      <x:c r="Q41" s="9" t="str">
        <x:v>true</x:v>
      </x:c>
      <x:c r="R41" s="9" t="str">
        <x:v>Magnets</x:v>
      </x:c>
      <x:c r="S41" s="9" t="str">
        <x:v>exact_stage;adjacent_stage_analogy</x:v>
      </x:c>
      <x:c r="T41" s="9" t="str">
        <x:v>proof of concept; observed facility milestone</x:v>
      </x:c>
      <x:c r="U41" s="9" t="str">
        <x:v>The loop is prototype/engineering revision followed by cryogenic and electromagnetic testing. A first-plasma date or whole-project build time does not measure the ordinary magnet revision cycle.</x:v>
      </x:c>
      <x:c r="V41" s="9" t="str">
        <x:v>Low-field research-device HTS engineering does not establish cycle timing for high-field stressed coils or conventional large-machine magnets.</x:v>
      </x:c>
      <x:c r="W41" s="9" t="str">
        <x:v>not_applicable</x:v>
      </x:c>
      <x:c r="X41" s="9" t="str">
        <x:v>not_applicable</x:v>
      </x:c>
      <x:c r="Y41" s="9" t="str">
        <x:v>not_applicable</x:v>
      </x:c>
      <x:c r="Z41" s="9" t="str">
        <x:v>not_applicable</x:v>
      </x:c>
      <x:c r="AA41" s="9" t="str">
        <x:v>dr-sp-0021-s2-v1</x:v>
      </x:c>
    </x:row>
    <x:row r="42" ht="60" customHeight="1">
      <x:c r="A42" s="3" t="str">
        <x:v>sp-0021</x:v>
      </x:c>
      <x:c r="B42" s="3" t="str">
        <x:v>S3</x:v>
      </x:c>
      <x:c r="C42" s="13" t="n">
        <x:v>1</x:v>
      </x:c>
      <x:c r="D42" s="13" t="n">
        <x:v>1</x:v>
      </x:c>
      <x:c r="E42" s="13" t="n">
        <x:f>MIN(C42:D42)</x:f>
        <x:v>1</x:v>
      </x:c>
      <x:c r="F42" s="13" t="n">
        <x:f>MAX(C42:D42)</x:f>
        <x:v>1</x:v>
      </x:c>
      <x:c r="G42" s="3" t="str">
        <x:v>missing</x:v>
      </x:c>
      <x:c r="H42" s="13" t="n">
        <x:v>1</x:v>
      </x:c>
      <x:c r="I42" s="13" t="n">
        <x:v>1</x:v>
      </x:c>
      <x:c r="J42" s="3" t="str">
        <x:f>IF(H42=I42,"value","range")</x:f>
        <x:v>value</x:v>
      </x:c>
      <x:c r="K42" s="3" t="str">
        <x:v>low</x:v>
      </x:c>
      <x:c r="L42" s="3" t="str">
        <x:v>supports_current_record</x:v>
      </x:c>
      <x:c r="M42" s="3" t="str">
        <x:v>Keep the low intermediate 1 qualitatively without repeating invented campaign rates or currency amounts.</x:v>
      </x:c>
      <x:c r="N42" s="3" t="str">
        <x:v>fusion-src-014</x:v>
      </x:c>
      <x:c r="O42" s="3" t="str">
        <x:v>Obtain cost and attainable test-slot data for sample, subscale coil and representative coil attempts.</x:v>
      </x:c>
      <x:c r="P42" s="3" t="str">
        <x:v>false</x:v>
      </x:c>
      <x:c r="Q42" s="3" t="str">
        <x:v>false</x:v>
      </x:c>
      <x:c r="R42" s="3" t="str">
        <x:v>Magnets</x:v>
      </x:c>
      <x:c r="S42" s="3" t="str">
        <x:v>exact_stage</x:v>
      </x:c>
      <x:c r="T42" s="3" t="str">
        <x:v>proof of concept</x:v>
      </x:c>
      <x:c r="U42" s="3" t="str">
        <x:v>Analytical and conductor-sample attempts can be affordable and parallel; representative coil tests require costly articles and specialized equipment, constraining decisive throughput.</x:v>
      </x:c>
      <x:c r="V42" s="3" t="str">
        <x:v>No canonical ledger establishes the submissions' monetary costs or annual test counts; those remain unsupported specifics.</x:v>
      </x:c>
      <x:c r="W42" s="3" t="str">
        <x:v>not_applicable</x:v>
      </x:c>
      <x:c r="X42" s="3" t="str">
        <x:v>not_applicable</x:v>
      </x:c>
      <x:c r="Y42" s="3" t="str">
        <x:v>not_applicable</x:v>
      </x:c>
      <x:c r="Z42" s="3" t="str">
        <x:v>not_applicable</x:v>
      </x:c>
      <x:c r="AA42" s="3" t="str">
        <x:v>dr-sp-0021-s3-v1</x:v>
      </x:c>
    </x:row>
    <x:row r="43" ht="60" customHeight="1">
      <x:c r="A43" s="9" t="str">
        <x:v>sp-0021</x:v>
      </x:c>
      <x:c r="B43" s="9" t="str">
        <x:v>S4</x:v>
      </x:c>
      <x:c r="C43" s="12" t="n">
        <x:v>1</x:v>
      </x:c>
      <x:c r="D43" s="12" t="n">
        <x:v>1</x:v>
      </x:c>
      <x:c r="E43" s="12" t="n">
        <x:f>MIN(C43:D43)</x:f>
        <x:v>1</x:v>
      </x:c>
      <x:c r="F43" s="12" t="n">
        <x:f>MAX(C43:D43)</x:f>
        <x:v>1</x:v>
      </x:c>
      <x:c r="G43" s="9" t="str">
        <x:v>missing</x:v>
      </x:c>
      <x:c r="H43" s="12" t="n">
        <x:v>1</x:v>
      </x:c>
      <x:c r="I43" s="12" t="n">
        <x:v>2</x:v>
      </x:c>
      <x:c r="J43" s="9" t="str">
        <x:f>IF(H43=I43,"value","range")</x:f>
        <x:v>range</x:v>
      </x:c>
      <x:c r="K43" s="9" t="str">
        <x:v>low</x:v>
      </x:c>
      <x:c r="L43" s="9" t="str">
        <x:v>recommends_range</x:v>
      </x:c>
      <x:c r="M43" s="9" t="str">
        <x:v>Retain 1-2 because the decisive physical sequence varies with the magnet route.</x:v>
      </x:c>
      <x:c r="N43" s="9" t="str">
        <x:v>fusion-src-014</x:v>
      </x:c>
      <x:c r="O43" s="9" t="str">
        <x:v>Measured prototype preparation, cooldown, test and recovery durations with queue time removed.</x:v>
      </x:c>
      <x:c r="P43" s="9" t="str">
        <x:v>false</x:v>
      </x:c>
      <x:c r="Q43" s="9" t="str">
        <x:v>false</x:v>
      </x:c>
      <x:c r="R43" s="9" t="str">
        <x:v>Magnets</x:v>
      </x:c>
      <x:c r="S43" s="9" t="str">
        <x:v>exact_stage</x:v>
      </x:c>
      <x:c r="T43" s="9" t="str">
        <x:v>proof of concept</x:v>
      </x:c>
      <x:c r="U43" s="9" t="str">
        <x:v>Prototype preparation and thermal/electrical test sequences impose physical delay; detailed design can proceed without those floors. Do not import mature production lead times or generic procurement queues.</x:v>
      </x:c>
      <x:c r="V43" s="9" t="str">
        <x:v>HH70 engineering supports a physical component but not a universal multi-week cooldown or cure duration across conductor/insulation designs.</x:v>
      </x:c>
      <x:c r="W43" s="9" t="str">
        <x:v>not_applicable</x:v>
      </x:c>
      <x:c r="X43" s="9" t="str">
        <x:v>not_applicable</x:v>
      </x:c>
      <x:c r="Y43" s="9" t="str">
        <x:v>not_applicable</x:v>
      </x:c>
      <x:c r="Z43" s="9" t="str">
        <x:v>not_applicable</x:v>
      </x:c>
      <x:c r="AA43" s="9" t="str">
        <x:v>dr-sp-0021-s4-v1</x:v>
      </x:c>
    </x:row>
    <x:row r="44" ht="60" customHeight="1">
      <x:c r="A44" s="3" t="str">
        <x:v>sp-0021</x:v>
      </x:c>
      <x:c r="B44" s="3" t="str">
        <x:v>S5</x:v>
      </x:c>
      <x:c r="C44" s="13" t="n">
        <x:v>1</x:v>
      </x:c>
      <x:c r="D44" s="13" t="n">
        <x:v>1</x:v>
      </x:c>
      <x:c r="E44" s="13" t="n">
        <x:f>MIN(C44:D44)</x:f>
        <x:v>1</x:v>
      </x:c>
      <x:c r="F44" s="13" t="n">
        <x:f>MAX(C44:D44)</x:f>
        <x:v>1</x:v>
      </x:c>
      <x:c r="G44" s="3" t="str">
        <x:v>missing</x:v>
      </x:c>
      <x:c r="H44" s="13" t="n">
        <x:v>1</x:v>
      </x:c>
      <x:c r="I44" s="13" t="n">
        <x:v>1</x:v>
      </x:c>
      <x:c r="J44" s="3" t="str">
        <x:f>IF(H44=I44,"value","range")</x:f>
        <x:v>value</x:v>
      </x:c>
      <x:c r="K44" s="3" t="str">
        <x:v>low</x:v>
      </x:c>
      <x:c r="L44" s="3" t="str">
        <x:v>supports_current_record</x:v>
      </x:c>
      <x:c r="M44" s="3" t="str">
        <x:v>Keep low tolerance without assigning all future plant consequences to magnet development.</x:v>
      </x:c>
      <x:c r="N44" s="3" t="str">
        <x:v>fusion-src-014</x:v>
      </x:c>
      <x:c r="O44" s="3" t="str">
        <x:v>Review the test-article energy envelope and independence of quench/electrical protection for a concrete variant.</x:v>
      </x:c>
      <x:c r="P44" s="3" t="str">
        <x:v>false</x:v>
      </x:c>
      <x:c r="Q44" s="3" t="str">
        <x:v>false</x:v>
      </x:c>
      <x:c r="R44" s="3" t="str">
        <x:v>Magnets</x:v>
      </x:c>
      <x:c r="S44" s="3" t="str">
        <x:v>exact_stage</x:v>
      </x:c>
      <x:c r="T44" s="3" t="str">
        <x:v>proof of concept</x:v>
      </x:c>
      <x:c r="U44" s="3" t="str">
        <x:v>Incorrect design or test operation can damage a high-value test article before independent quench/electrical protection. Many paper and low-energy test errors remain recoverable; not every quench is an erroneous stage output.</x:v>
      </x:c>
      <x:c r="V44" s="3" t="str">
        <x:v>The engineering paper is not a pilot stored-energy safety case; 1 remains conditional on bounded pre-integration exposure.</x:v>
      </x:c>
      <x:c r="W44" s="3" t="str">
        <x:v>Damage to the development article or test equipment before protection acts; wasted development work before acceptance.</x:v>
      </x:c>
      <x:c r="X44" s="3" t="str">
        <x:v>Independent test-stand quench/electrical protection and subsequent integration acceptance.</x:v>
      </x:c>
      <x:c r="Y44" s="3" t="str">
        <x:v>Operational plant cascades requiring later independent integration or plant-safety failures.</x:v>
      </x:c>
      <x:c r="Z44" s="3" t="str">
        <x:v>assumed_not_verified</x:v>
      </x:c>
      <x:c r="AA44" s="3" t="str">
        <x:v>dr-sp-0021-s5-v1</x:v>
      </x:c>
    </x:row>
    <x:row r="45" ht="44" customHeight="1">
      <x:c r="A45" s="9" t="str">
        <x:v>sp-0022</x:v>
      </x:c>
      <x:c r="B45" s="9" t="str">
        <x:v>S1</x:v>
      </x:c>
      <x:c r="C45" s="12" t="n">
        <x:v>2</x:v>
      </x:c>
      <x:c r="D45" s="12" t="n">
        <x:v>2</x:v>
      </x:c>
      <x:c r="E45" s="12" t="n">
        <x:f>MIN(C45:D45)</x:f>
        <x:v>2</x:v>
      </x:c>
      <x:c r="F45" s="12" t="n">
        <x:f>MAX(C45:D45)</x:f>
        <x:v>2</x:v>
      </x:c>
      <x:c r="G45" s="9" t="str">
        <x:v>missing</x:v>
      </x:c>
      <x:c r="H45" s="12" t="n">
        <x:v>2</x:v>
      </x:c>
      <x:c r="I45" s="12" t="n">
        <x:v>2</x:v>
      </x:c>
      <x:c r="J45" s="9" t="str">
        <x:f>IF(H45=I45,"value","range")</x:f>
        <x:v>value</x:v>
      </x:c>
      <x:c r="K45" s="9" t="str">
        <x:v>medium</x:v>
      </x:c>
      <x:c r="L45" s="9" t="str">
        <x:v>supports_current_record</x:v>
      </x:c>
      <x:c r="M45" s="9" t="str">
        <x:v>The mixed 2 is defensible from scope, with limited direct development evidence.</x:v>
      </x:c>
      <x:c r="N45" s="9" t="str">
        <x:v>fusion-src-029;fusion-src-034</x:v>
      </x:c>
      <x:c r="O45" s="9" t="str">
        <x:v>A pre-integration development account for the specific RF or neutral-beam route.</x:v>
      </x:c>
      <x:c r="P45" s="9" t="str">
        <x:v>false</x:v>
      </x:c>
      <x:c r="Q45" s="9" t="str">
        <x:v>false</x:v>
      </x:c>
      <x:c r="R45" s="9" t="str">
        <x:v>Heating and current drive</x:v>
      </x:c>
      <x:c r="S45" s="9" t="str">
        <x:v>adjacent_stage_analogy</x:v>
      </x:c>
      <x:c r="T45" s="9" t="str">
        <x:v>observed facility milestone; official target</x:v>
      </x:c>
      <x:c r="U45" s="9" t="str">
        <x:v>Heating/current-drive development combines modelling and control engineering with physical high-power source and coupling tests. Integrated facility commissioning is excluded.</x:v>
      </x:c>
      <x:c r="V45" s="9" t="str">
        <x:v>DIII-D upgrade reporting and JT-60SA component commissioning are adjacent hardware examples, not measurements of the whole development balance.</x:v>
      </x:c>
      <x:c r="W45" s="9" t="str">
        <x:v>not_applicable</x:v>
      </x:c>
      <x:c r="X45" s="9" t="str">
        <x:v>not_applicable</x:v>
      </x:c>
      <x:c r="Y45" s="9" t="str">
        <x:v>not_applicable</x:v>
      </x:c>
      <x:c r="Z45" s="9" t="str">
        <x:v>not_applicable</x:v>
      </x:c>
      <x:c r="AA45" s="9" t="str">
        <x:v>dr-sp-0022-s1-v1</x:v>
      </x:c>
    </x:row>
    <x:row r="46" ht="60" customHeight="1">
      <x:c r="A46" s="3" t="str">
        <x:v>sp-0022</x:v>
      </x:c>
      <x:c r="B46" s="3" t="str">
        <x:v>S2</x:v>
      </x:c>
      <x:c r="C46" s="13" t="n">
        <x:v>2</x:v>
      </x:c>
      <x:c r="D46" s="13" t="n">
        <x:v>1</x:v>
      </x:c>
      <x:c r="E46" s="13" t="n">
        <x:f>MIN(C46:D46)</x:f>
        <x:v>1</x:v>
      </x:c>
      <x:c r="F46" s="13" t="n">
        <x:f>MAX(C46:D46)</x:f>
        <x:v>2</x:v>
      </x:c>
      <x:c r="G46" s="3" t="str">
        <x:v>missing</x:v>
      </x:c>
      <x:c r="H46" s="13" t="n">
        <x:v>1</x:v>
      </x:c>
      <x:c r="I46" s="13" t="n">
        <x:v>2</x:v>
      </x:c>
      <x:c r="J46" s="3" t="str">
        <x:f>IF(H46=I46,"value","range")</x:f>
        <x:v>range</x:v>
      </x:c>
      <x:c r="K46" s="3" t="str">
        <x:v>low</x:v>
      </x:c>
      <x:c r="L46" s="3" t="str">
        <x:v>requires_pathway_variant</x:v>
      </x:c>
      <x:c r="M46" s="3" t="str">
        <x:v>Preserve 1-2 and request a route-specific cycle rather than selecting from adjacent project durations.</x:v>
      </x:c>
      <x:c r="N46" s="3" t="str">
        <x:v>fusion-src-029;fusion-src-034</x:v>
      </x:c>
      <x:c r="O46" s="3" t="str">
        <x:v>Completed source/launcher revision and full-power test records for each proposed H&amp;CD route.</x:v>
      </x:c>
      <x:c r="P46" s="3" t="str">
        <x:v>false</x:v>
      </x:c>
      <x:c r="Q46" s="3" t="str">
        <x:v>true</x:v>
      </x:c>
      <x:c r="R46" s="3" t="str">
        <x:v>Heating and current drive</x:v>
      </x:c>
      <x:c r="S46" s="3" t="str">
        <x:v>adjacent_stage_analogy</x:v>
      </x:c>
      <x:c r="T46" s="3" t="str">
        <x:v>observed facility milestone; official target</x:v>
      </x:c>
      <x:c r="U46" s="3" t="str">
        <x:v>The ordinary feedback loop is a subsystem revision and test, not an entire facility upgrade or a future plasma campaign date. Different source/launcher technologies may have different prototype and conditioning cycles.</x:v>
      </x:c>
      <x:c r="V46" s="3" t="str">
        <x:v>The reported eight-month DIII-D upgrade is operator reporting; JT-60SA future operations are a target. Neither directly times the frozen development loop.</x:v>
      </x:c>
      <x:c r="W46" s="3" t="str">
        <x:v>not_applicable</x:v>
      </x:c>
      <x:c r="X46" s="3" t="str">
        <x:v>not_applicable</x:v>
      </x:c>
      <x:c r="Y46" s="3" t="str">
        <x:v>not_applicable</x:v>
      </x:c>
      <x:c r="Z46" s="3" t="str">
        <x:v>not_applicable</x:v>
      </x:c>
      <x:c r="AA46" s="3" t="str">
        <x:v>dr-sp-0022-s2-v1</x:v>
      </x:c>
    </x:row>
    <x:row r="47" ht="60" customHeight="1">
      <x:c r="A47" s="9" t="str">
        <x:v>sp-0022</x:v>
      </x:c>
      <x:c r="B47" s="9" t="str">
        <x:v>S3</x:v>
      </x:c>
      <x:c r="C47" s="12" t="n">
        <x:v>1</x:v>
      </x:c>
      <x:c r="D47" s="12" t="n">
        <x:v>1</x:v>
      </x:c>
      <x:c r="E47" s="12" t="n">
        <x:f>MIN(C47:D47)</x:f>
        <x:v>1</x:v>
      </x:c>
      <x:c r="F47" s="12" t="n">
        <x:f>MAX(C47:D47)</x:f>
        <x:v>1</x:v>
      </x:c>
      <x:c r="G47" s="9" t="str">
        <x:v>missing</x:v>
      </x:c>
      <x:c r="H47" s="12" t="n">
        <x:v>1</x:v>
      </x:c>
      <x:c r="I47" s="12" t="n">
        <x:v>1</x:v>
      </x:c>
      <x:c r="J47" s="9" t="str">
        <x:f>IF(H47=I47,"value","range")</x:f>
        <x:v>value</x:v>
      </x:c>
      <x:c r="K47" s="9" t="str">
        <x:v>low</x:v>
      </x:c>
      <x:c r="L47" s="9" t="str">
        <x:v>supports_current_record</x:v>
      </x:c>
      <x:c r="M47" s="9" t="str">
        <x:v>Keep 1 as a low-confidence structural candidate, without claiming a few campaigns per year as fact.</x:v>
      </x:c>
      <x:c r="N47" s="9" t="str">
        <x:v>fusion-src-029;fusion-src-034</x:v>
      </x:c>
      <x:c r="O47" s="9" t="str">
        <x:v>Measured marginal attempt costs and available parallel full-power test capacity.</x:v>
      </x:c>
      <x:c r="P47" s="9" t="str">
        <x:v>false</x:v>
      </x:c>
      <x:c r="Q47" s="9" t="str">
        <x:v>false</x:v>
      </x:c>
      <x:c r="R47" s="9" t="str">
        <x:v>Heating and current drive</x:v>
      </x:c>
      <x:c r="S47" s="9" t="str">
        <x:v>adjacent_stage_analogy</x:v>
      </x:c>
      <x:c r="T47" s="9" t="str">
        <x:v>observed facility milestone; official target</x:v>
      </x:c>
      <x:c r="U47" s="9" t="str">
        <x:v>Modelling and low-power tests are cheaper and can run in parallel; representative source tests consume expensive equipment and specialized test stands, limiting decisive throughput.</x:v>
      </x:c>
      <x:c r="V47" s="9" t="str">
        <x:v>The canonical milestones identify systems but do not establish source-level unit costs or test-stand availability rates.</x:v>
      </x:c>
      <x:c r="W47" s="9" t="str">
        <x:v>not_applicable</x:v>
      </x:c>
      <x:c r="X47" s="9" t="str">
        <x:v>not_applicable</x:v>
      </x:c>
      <x:c r="Y47" s="9" t="str">
        <x:v>not_applicable</x:v>
      </x:c>
      <x:c r="Z47" s="9" t="str">
        <x:v>not_applicable</x:v>
      </x:c>
      <x:c r="AA47" s="9" t="str">
        <x:v>dr-sp-0022-s3-v1</x:v>
      </x:c>
    </x:row>
    <x:row r="48" ht="60" customHeight="1">
      <x:c r="A48" s="3" t="str">
        <x:v>sp-0022</x:v>
      </x:c>
      <x:c r="B48" s="3" t="str">
        <x:v>S4</x:v>
      </x:c>
      <x:c r="C48" s="13" t="n">
        <x:v>2</x:v>
      </x:c>
      <x:c r="D48" s="13" t="n">
        <x:v>1</x:v>
      </x:c>
      <x:c r="E48" s="13" t="n">
        <x:f>MIN(C48:D48)</x:f>
        <x:v>1</x:v>
      </x:c>
      <x:c r="F48" s="13" t="n">
        <x:f>MAX(C48:D48)</x:f>
        <x:v>2</x:v>
      </x:c>
      <x:c r="G48" s="3" t="str">
        <x:v>missing</x:v>
      </x:c>
      <x:c r="H48" s="13" t="n">
        <x:v>1</x:v>
      </x:c>
      <x:c r="I48" s="13" t="n">
        <x:v>2</x:v>
      </x:c>
      <x:c r="J48" s="3" t="str">
        <x:f>IF(H48=I48,"value","range")</x:f>
        <x:v>range</x:v>
      </x:c>
      <x:c r="K48" s="3" t="str">
        <x:v>low</x:v>
      </x:c>
      <x:c r="L48" s="3" t="str">
        <x:v>recommends_range</x:v>
      </x:c>
      <x:c r="M48" s="3" t="str">
        <x:v>1-2 preserves the uncertainty about physical delay versus analytical work.</x:v>
      </x:c>
      <x:c r="N48" s="3" t="str">
        <x:v>fusion-src-034;fusion-src-029</x:v>
      </x:c>
      <x:c r="O48" s="3" t="str">
        <x:v>A route-specific breakdown of conditioning/test time excluding institutional and supply queues.</x:v>
      </x:c>
      <x:c r="P48" s="3" t="str">
        <x:v>false</x:v>
      </x:c>
      <x:c r="Q48" s="3" t="str">
        <x:v>false</x:v>
      </x:c>
      <x:c r="R48" s="3" t="str">
        <x:v>Heating and current drive</x:v>
      </x:c>
      <x:c r="S48" s="3" t="str">
        <x:v>adjacent_stage_analogy</x:v>
      </x:c>
      <x:c r="T48" s="3" t="str">
        <x:v>official target; observed facility milestone</x:v>
      </x:c>
      <x:c r="U48" s="3" t="str">
        <x:v>Conditioning and thermal/vacuum/electrical test sequences can impose physical floors inside development. Procurement, administrative outages and later integrated commissioning do not establish this stage's S4.</x:v>
      </x:c>
      <x:c r="V48" s="3" t="str">
        <x:v>Adjacent commissioning evidence demonstrates sequence dependence, not a universally dominant development duration.</x:v>
      </x:c>
      <x:c r="W48" s="3" t="str">
        <x:v>not_applicable</x:v>
      </x:c>
      <x:c r="X48" s="3" t="str">
        <x:v>not_applicable</x:v>
      </x:c>
      <x:c r="Y48" s="3" t="str">
        <x:v>not_applicable</x:v>
      </x:c>
      <x:c r="Z48" s="3" t="str">
        <x:v>not_applicable</x:v>
      </x:c>
      <x:c r="AA48" s="3" t="str">
        <x:v>dr-sp-0022-s4-v1</x:v>
      </x:c>
    </x:row>
    <x:row r="49" ht="60" customHeight="1">
      <x:c r="A49" s="9" t="str">
        <x:v>sp-0022</x:v>
      </x:c>
      <x:c r="B49" s="9" t="str">
        <x:v>S5</x:v>
      </x:c>
      <x:c r="C49" s="12" t="n">
        <x:v>1</x:v>
      </x:c>
      <x:c r="D49" s="12" t="n">
        <x:v>1</x:v>
      </x:c>
      <x:c r="E49" s="12" t="n">
        <x:f>MIN(C49:D49)</x:f>
        <x:v>1</x:v>
      </x:c>
      <x:c r="F49" s="12" t="n">
        <x:f>MAX(C49:D49)</x:f>
        <x:v>1</x:v>
      </x:c>
      <x:c r="G49" s="9" t="str">
        <x:v>missing</x:v>
      </x:c>
      <x:c r="H49" s="12" t="n">
        <x:v>1</x:v>
      </x:c>
      <x:c r="I49" s="12" t="n">
        <x:v>1</x:v>
      </x:c>
      <x:c r="J49" s="9" t="str">
        <x:f>IF(H49=I49,"value","range")</x:f>
        <x:v>value</x:v>
      </x:c>
      <x:c r="K49" s="9" t="str">
        <x:v>low</x:v>
      </x:c>
      <x:c r="L49" s="9" t="str">
        <x:v>supports_current_record</x:v>
      </x:c>
      <x:c r="M49" s="9" t="str">
        <x:v>A low intermediate 1 remains defensible as a conditional structural recommendation.</x:v>
      </x:c>
      <x:c r="N49" s="9" t="str">
        <x:v>fusion-src-034</x:v>
      </x:c>
      <x:c r="O49" s="9" t="str">
        <x:v>Verify the independent test-stand protection and bounded high-power failure envelope.</x:v>
      </x:c>
      <x:c r="P49" s="9" t="str">
        <x:v>false</x:v>
      </x:c>
      <x:c r="Q49" s="9" t="str">
        <x:v>false</x:v>
      </x:c>
      <x:c r="R49" s="9" t="str">
        <x:v>Heating and current drive</x:v>
      </x:c>
      <x:c r="S49" s="9" t="str">
        <x:v>adjacent_stage_analogy</x:v>
      </x:c>
      <x:c r="T49" s="9" t="str">
        <x:v>official target</x:v>
      </x:c>
      <x:c r="U49" s="9" t="str">
        <x:v>A development error at high power can damage source or test equipment before independent electrical/interlock protection; recoverable low-power mistakes coexist with costly failures.</x:v>
      </x:c>
      <x:c r="V49" s="9" t="str">
        <x:v>Component commissioning is adjacent evidence and does not independently validate a pre-integration hazard analysis.</x:v>
      </x:c>
      <x:c r="W49" s="9" t="str">
        <x:v>Costly source or test-stand damage and local exposure before protection.</x:v>
      </x:c>
      <x:c r="X49" s="9" t="str">
        <x:v>Independent high-power test-stand interlocks/protection before release to integrated commissioning.</x:v>
      </x:c>
      <x:c r="Y49" s="9" t="str">
        <x:v>Plant accidents after independent integration acceptance or plant protection fails.</x:v>
      </x:c>
      <x:c r="Z49" s="9" t="str">
        <x:v>assumed_not_verified</x:v>
      </x:c>
      <x:c r="AA49" s="9" t="str">
        <x:v>dr-sp-0022-s5-v1</x:v>
      </x:c>
    </x:row>
    <x:row r="50" ht="44" customHeight="1">
      <x:c r="A50" s="3" t="str">
        <x:v>sp-0023</x:v>
      </x:c>
      <x:c r="B50" s="3" t="str">
        <x:v>S1</x:v>
      </x:c>
      <x:c r="C50" s="13" t="n">
        <x:v>2</x:v>
      </x:c>
      <x:c r="D50" s="13" t="n">
        <x:v>2</x:v>
      </x:c>
      <x:c r="E50" s="13" t="n">
        <x:f>MIN(C50:D50)</x:f>
        <x:v>2</x:v>
      </x:c>
      <x:c r="F50" s="13" t="n">
        <x:f>MAX(C50:D50)</x:f>
        <x:v>2</x:v>
      </x:c>
      <x:c r="G50" s="3" t="str">
        <x:v>missing</x:v>
      </x:c>
      <x:c r="H50" s="13" t="n">
        <x:v>2</x:v>
      </x:c>
      <x:c r="I50" s="13" t="n">
        <x:v>2</x:v>
      </x:c>
      <x:c r="J50" s="3" t="str">
        <x:f>IF(H50=I50,"value","range")</x:f>
        <x:v>value</x:v>
      </x:c>
      <x:c r="K50" s="3" t="str">
        <x:v>medium</x:v>
      </x:c>
      <x:c r="L50" s="3" t="str">
        <x:v>supports_current_record</x:v>
      </x:c>
      <x:c r="M50" s="3" t="str">
        <x:v>Both coders' mixed 2 remains defensible while the combined-environment gap stays open.</x:v>
      </x:c>
      <x:c r="N50" s="3" t="str">
        <x:v>fusion-src-026;fusion-src-027;fusion-src-023</x:v>
      </x:c>
      <x:c r="O50" s="3" t="str">
        <x:v>A development workflow for a specified PFC design with representative exposure requirements.</x:v>
      </x:c>
      <x:c r="P50" s="3" t="str">
        <x:v>false</x:v>
      </x:c>
      <x:c r="Q50" s="3" t="str">
        <x:v>false</x:v>
      </x:c>
      <x:c r="R50" s="3" t="str">
        <x:v>Plasma-facing components</x:v>
      </x:c>
      <x:c r="S50" s="3" t="str">
        <x:v>target_programme_status;adjacent_stage_analogy</x:v>
      </x:c>
      <x:c r="T50" s="3" t="str">
        <x:v>programme announcement; proof of concept</x:v>
      </x:c>
      <x:c r="U50" s="3" t="str">
        <x:v>PFC design couples thermal/material analysis to physical mock-ups and exposures. HEAT-ML is a simulation subset, not evidence that development is predominantly informational.</x:v>
      </x:c>
      <x:c r="V50" s="3" t="str">
        <x:v>MPEX plans address plasma-facing exposure; neither those plans nor a 15-tile SPARC calculation qualifies combined-environment component life.</x:v>
      </x:c>
      <x:c r="W50" s="3" t="str">
        <x:v>not_applicable</x:v>
      </x:c>
      <x:c r="X50" s="3" t="str">
        <x:v>not_applicable</x:v>
      </x:c>
      <x:c r="Y50" s="3" t="str">
        <x:v>not_applicable</x:v>
      </x:c>
      <x:c r="Z50" s="3" t="str">
        <x:v>not_applicable</x:v>
      </x:c>
      <x:c r="AA50" s="3" t="str">
        <x:v>dr-sp-0023-s1-v1</x:v>
      </x:c>
    </x:row>
    <x:row r="51" ht="60" customHeight="1">
      <x:c r="A51" s="9" t="str">
        <x:v>sp-0023</x:v>
      </x:c>
      <x:c r="B51" s="9" t="str">
        <x:v>S2</x:v>
      </x:c>
      <x:c r="C51" s="12" t="n">
        <x:v>1</x:v>
      </x:c>
      <x:c r="D51" s="12" t="n">
        <x:v>1</x:v>
      </x:c>
      <x:c r="E51" s="12" t="n">
        <x:f>MIN(C51:D51)</x:f>
        <x:v>1</x:v>
      </x:c>
      <x:c r="F51" s="12" t="n">
        <x:f>MAX(C51:D51)</x:f>
        <x:v>1</x:v>
      </x:c>
      <x:c r="G51" s="9" t="str">
        <x:v>missing</x:v>
      </x:c>
      <x:c r="H51" s="12" t="n">
        <x:v>0</x:v>
      </x:c>
      <x:c r="I51" s="12" t="n">
        <x:v>1</x:v>
      </x:c>
      <x:c r="J51" s="9" t="str">
        <x:f>IF(H51=I51,"value","range")</x:f>
        <x:v>range</x:v>
      </x:c>
      <x:c r="K51" s="9" t="str">
        <x:v>low</x:v>
      </x:c>
      <x:c r="L51" s="9" t="str">
        <x:v>insufficient_evidence</x:v>
      </x:c>
      <x:c r="M51" s="9" t="str">
        <x:v>Retain a low 0-1 candidate interval pending the defined development endpoint; no completed combined-environment result is inferred.</x:v>
      </x:c>
      <x:c r="N51" s="9" t="str">
        <x:v>fusion-src-026;fusion-src-045</x:v>
      </x:c>
      <x:c r="O51" s="9" t="str">
        <x:v>A documented combined-environment development test/revision sequence with endpoints and actual elapsed times.</x:v>
      </x:c>
      <x:c r="P51" s="9" t="str">
        <x:v>false</x:v>
      </x:c>
      <x:c r="Q51" s="9" t="str">
        <x:v>false</x:v>
      </x:c>
      <x:c r="R51" s="9" t="str">
        <x:v>Plasma-facing components</x:v>
      </x:c>
      <x:c r="S51" s="9" t="str">
        <x:v>target_programme_status;adjacent_stage_analogy</x:v>
      </x:c>
      <x:c r="T51" s="9" t="str">
        <x:v>programme announcement; model or scenario estimate</x:v>
      </x:c>
      <x:c r="U51" s="9" t="str">
        <x:v>Mock-up revision and heat-flux testing can be shorter than qualification, but a claim about representative combined neutron/thermal/cyclic response cannot use a short surrogate inference time. The ordinary decisive loop is not observed.</x:v>
      </x:c>
      <x:c r="V51" s="9" t="str">
        <x:v>Planned MPEX exposure is not a neutron source; IFMIF-DONES materials irradiation is adjacent and cannot supply integrated PFC feedback.</x:v>
      </x:c>
      <x:c r="W51" s="9" t="str">
        <x:v>not_applicable</x:v>
      </x:c>
      <x:c r="X51" s="9" t="str">
        <x:v>not_applicable</x:v>
      </x:c>
      <x:c r="Y51" s="9" t="str">
        <x:v>not_applicable</x:v>
      </x:c>
      <x:c r="Z51" s="9" t="str">
        <x:v>not_applicable</x:v>
      </x:c>
      <x:c r="AA51" s="9" t="str">
        <x:v>dr-sp-0023-s2-v1</x:v>
      </x:c>
    </x:row>
    <x:row r="52" ht="60" customHeight="1">
      <x:c r="A52" s="3" t="str">
        <x:v>sp-0023</x:v>
      </x:c>
      <x:c r="B52" s="3" t="str">
        <x:v>S3</x:v>
      </x:c>
      <x:c r="C52" s="13" t="n">
        <x:v>1</x:v>
      </x:c>
      <x:c r="D52" s="13" t="n">
        <x:v>1</x:v>
      </x:c>
      <x:c r="E52" s="13" t="n">
        <x:f>MIN(C52:D52)</x:f>
        <x:v>1</x:v>
      </x:c>
      <x:c r="F52" s="13" t="n">
        <x:f>MAX(C52:D52)</x:f>
        <x:v>1</x:v>
      </x:c>
      <x:c r="G52" s="3" t="str">
        <x:v>missing</x:v>
      </x:c>
      <x:c r="H52" s="13" t="n">
        <x:v>0</x:v>
      </x:c>
      <x:c r="I52" s="13" t="n">
        <x:v>1</x:v>
      </x:c>
      <x:c r="J52" s="3" t="str">
        <x:f>IF(H52=I52,"value","range")</x:f>
        <x:v>range</x:v>
      </x:c>
      <x:c r="K52" s="3" t="str">
        <x:v>low</x:v>
      </x:c>
      <x:c r="L52" s="3" t="str">
        <x:v>recommends_range</x:v>
      </x:c>
      <x:c r="M52" s="3" t="str">
        <x:v>0-1 captures severe physical validation scarcity while preserving possible batch testing.</x:v>
      </x:c>
      <x:c r="N52" s="3" t="str">
        <x:v>fusion-src-026;fusion-src-045</x:v>
      </x:c>
      <x:c r="O52" s="3" t="str">
        <x:v>Costed representative mock-up campaigns with simultaneous versus sequential environment coverage identified.</x:v>
      </x:c>
      <x:c r="P52" s="3" t="str">
        <x:v>false</x:v>
      </x:c>
      <x:c r="Q52" s="3" t="str">
        <x:v>false</x:v>
      </x:c>
      <x:c r="R52" s="3" t="str">
        <x:v>Plasma-facing components</x:v>
      </x:c>
      <x:c r="S52" s="3" t="str">
        <x:v>target_programme_status;adjacent_stage_analogy</x:v>
      </x:c>
      <x:c r="T52" s="3" t="str">
        <x:v>programme announcement; model or scenario estimate</x:v>
      </x:c>
      <x:c r="U52" s="3" t="str">
        <x:v>Small mock-ups can be fabricated and tested in batches at lower marginal cost; representative combined-environment attempts require scarce, costly facilities and limit usable throughput.</x:v>
      </x:c>
      <x:c r="V52" s="3" t="str">
        <x:v>Planned specimen or exposure capacity is not demonstrated qualified PFC throughput; separate-environment tests cannot be pooled as an integrated result.</x:v>
      </x:c>
      <x:c r="W52" s="3" t="str">
        <x:v>not_applicable</x:v>
      </x:c>
      <x:c r="X52" s="3" t="str">
        <x:v>not_applicable</x:v>
      </x:c>
      <x:c r="Y52" s="3" t="str">
        <x:v>not_applicable</x:v>
      </x:c>
      <x:c r="Z52" s="3" t="str">
        <x:v>not_applicable</x:v>
      </x:c>
      <x:c r="AA52" s="3" t="str">
        <x:v>dr-sp-0023-s3-v1</x:v>
      </x:c>
    </x:row>
    <x:row r="53" ht="60" customHeight="1">
      <x:c r="A53" s="9" t="str">
        <x:v>sp-0023</x:v>
      </x:c>
      <x:c r="B53" s="9" t="str">
        <x:v>S4</x:v>
      </x:c>
      <x:c r="C53" s="12" t="n">
        <x:v>1</x:v>
      </x:c>
      <x:c r="D53" s="12" t="n">
        <x:v>1</x:v>
      </x:c>
      <x:c r="E53" s="12" t="n">
        <x:f>MIN(C53:D53)</x:f>
        <x:v>1</x:v>
      </x:c>
      <x:c r="F53" s="12" t="n">
        <x:f>MAX(C53:D53)</x:f>
        <x:v>1</x:v>
      </x:c>
      <x:c r="G53" s="9" t="str">
        <x:v>missing</x:v>
      </x:c>
      <x:c r="H53" s="12" t="n">
        <x:v>0</x:v>
      </x:c>
      <x:c r="I53" s="12" t="n">
        <x:v>1</x:v>
      </x:c>
      <x:c r="J53" s="9" t="str">
        <x:f>IF(H53=I53,"value","range")</x:f>
        <x:v>range</x:v>
      </x:c>
      <x:c r="K53" s="9" t="str">
        <x:v>low</x:v>
      </x:c>
      <x:c r="L53" s="9" t="str">
        <x:v>requires_human_expert</x:v>
      </x:c>
      <x:c r="M53" s="9" t="str">
        <x:v>A specialist must establish which physical floors belong inside pre-integration development before narrowing 0-1.</x:v>
      </x:c>
      <x:c r="N53" s="9" t="str">
        <x:v>fusion-src-026;fusion-src-045</x:v>
      </x:c>
      <x:c r="O53" s="9" t="str">
        <x:v>A specified PFC lifetime envelope and technically justified combined/sequential exposure protocol.</x:v>
      </x:c>
      <x:c r="P53" s="9" t="str">
        <x:v>true</x:v>
      </x:c>
      <x:c r="Q53" s="9" t="str">
        <x:v>true</x:v>
      </x:c>
      <x:c r="R53" s="9" t="str">
        <x:v>Plasma-facing components</x:v>
      </x:c>
      <x:c r="S53" s="9" t="str">
        <x:v>target_programme_status;adjacent_stage_analogy</x:v>
      </x:c>
      <x:c r="T53" s="9" t="str">
        <x:v>programme announcement; model or scenario estimate</x:v>
      </x:c>
      <x:c r="U53" s="9" t="str">
        <x:v>Thermal cycling, erosion and irradiation exposure are physical processes, not institutional delay. Whether they dominate this development stage depends on the required representativeness and accepted sequence; qualification may not be silently imported wholesale.</x:v>
      </x:c>
      <x:c r="V53" s="9" t="str">
        <x:v>MPEX can test already irradiated samples but does not itself produce fusion-spectrum neutrons. Material-dependent DONES matching does not establish integrated PFC equivalence.</x:v>
      </x:c>
      <x:c r="W53" s="9" t="str">
        <x:v>not_applicable</x:v>
      </x:c>
      <x:c r="X53" s="9" t="str">
        <x:v>not_applicable</x:v>
      </x:c>
      <x:c r="Y53" s="9" t="str">
        <x:v>not_applicable</x:v>
      </x:c>
      <x:c r="Z53" s="9" t="str">
        <x:v>not_applicable</x:v>
      </x:c>
      <x:c r="AA53" s="9" t="str">
        <x:v>dr-sp-0023-s4-v1</x:v>
      </x:c>
    </x:row>
    <x:row r="54" ht="76" customHeight="1">
      <x:c r="A54" s="3" t="str">
        <x:v>sp-0023</x:v>
      </x:c>
      <x:c r="B54" s="3" t="str">
        <x:v>S5</x:v>
      </x:c>
      <x:c r="C54" s="13" t="n">
        <x:v>2</x:v>
      </x:c>
      <x:c r="D54" s="13" t="n">
        <x:v>1</x:v>
      </x:c>
      <x:c r="E54" s="13" t="n">
        <x:f>MIN(C54:D54)</x:f>
        <x:v>1</x:v>
      </x:c>
      <x:c r="F54" s="13" t="n">
        <x:f>MAX(C54:D54)</x:f>
        <x:v>2</x:v>
      </x:c>
      <x:c r="G54" s="3" t="str">
        <x:v>missing</x:v>
      </x:c>
      <x:c r="H54" s="13" t="n">
        <x:v>1</x:v>
      </x:c>
      <x:c r="I54" s="13" t="n">
        <x:v>2</x:v>
      </x:c>
      <x:c r="J54" s="3" t="str">
        <x:f>IF(H54=I54,"value","range")</x:f>
        <x:v>range</x:v>
      </x:c>
      <x:c r="K54" s="3" t="str">
        <x:v>low</x:v>
      </x:c>
      <x:c r="L54" s="3" t="str">
        <x:v>requires_human_expert</x:v>
      </x:c>
      <x:c r="M54" s="3" t="str">
        <x:v>Preserve 1-2; the seed excludes all escaped harm, while the independent rationale may import later plasma operation.</x:v>
      </x:c>
      <x:c r="N54" s="3" t="str">
        <x:v>fusion-src-026</x:v>
      </x:c>
      <x:c r="O54" s="3" t="str">
        <x:v>An independently reviewed PFC development acceptance and test-stand protection plan.</x:v>
      </x:c>
      <x:c r="P54" s="3" t="str">
        <x:v>true</x:v>
      </x:c>
      <x:c r="Q54" s="3" t="str">
        <x:v>true</x:v>
      </x:c>
      <x:c r="R54" s="3" t="str">
        <x:v>Plasma-facing components</x:v>
      </x:c>
      <x:c r="S54" s="3" t="str">
        <x:v>target_programme_status</x:v>
      </x:c>
      <x:c r="T54" s="3" t="str">
        <x:v>programme announcement</x:v>
      </x:c>
      <x:c r="U54" s="3" t="str">
        <x:v>Failure of a mock-up can be informative; erroneous test conduct or release of an unrepresentative component claim can lose costly tests or damage receiving test equipment before independent acceptance. Operating-machine consequences stop at that acceptance boundary.</x:v>
      </x:c>
      <x:c r="V54" s="3" t="str">
        <x:v>The planned exposure facility does not document independent PFC design acceptance or an escaped-error consequence envelope.</x:v>
      </x:c>
      <x:c r="W54" s="3" t="str">
        <x:v>Lost mock-ups, invalid exposure data and test-equipment consequences before independent acceptance/protection.</x:v>
      </x:c>
      <x:c r="X54" s="3" t="str">
        <x:v>Independent PFC design/test acceptance and receiving test-stand protection before integrated commissioning.</x:v>
      </x:c>
      <x:c r="Y54" s="3" t="str">
        <x:v>Operating-plant contamination or damage requiring later independent integration and commissioning checks to fail.</x:v>
      </x:c>
      <x:c r="Z54" s="3" t="str">
        <x:v>assumed_not_verified</x:v>
      </x:c>
      <x:c r="AA54" s="3" t="str">
        <x:v>dr-sp-0023-s5-v1</x:v>
      </x:c>
    </x:row>
    <x:row r="55" ht="60" customHeight="1">
      <x:c r="A55" s="9" t="str">
        <x:v>sp-0024</x:v>
      </x:c>
      <x:c r="B55" s="9" t="str">
        <x:v>S1</x:v>
      </x:c>
      <x:c r="C55" s="12" t="n">
        <x:v>1</x:v>
      </x:c>
      <x:c r="D55" s="12" t="n">
        <x:v>1</x:v>
      </x:c>
      <x:c r="E55" s="12" t="n">
        <x:f>MIN(C55:D55)</x:f>
        <x:v>1</x:v>
      </x:c>
      <x:c r="F55" s="12" t="n">
        <x:f>MAX(C55:D55)</x:f>
        <x:v>1</x:v>
      </x:c>
      <x:c r="G55" s="9" t="str">
        <x:v>missing</x:v>
      </x:c>
      <x:c r="H55" s="12" t="n">
        <x:v>1</x:v>
      </x:c>
      <x:c r="I55" s="12" t="n">
        <x:v>2</x:v>
      </x:c>
      <x:c r="J55" s="9" t="str">
        <x:f>IF(H55=I55,"value","range")</x:f>
        <x:v>range</x:v>
      </x:c>
      <x:c r="K55" s="9" t="str">
        <x:v>low</x:v>
      </x:c>
      <x:c r="L55" s="9" t="str">
        <x:v>recommends_range</x:v>
      </x:c>
      <x:c r="M55" s="9" t="str">
        <x:v>Broaden the shared 1 to 1-2 rather than infer work composition from missing pilot data.</x:v>
      </x:c>
      <x:c r="N55" s="9" t="str">
        <x:v>fusion-src-028;fusion-src-038</x:v>
      </x:c>
      <x:c r="O55" s="9" t="str">
        <x:v>A specified fuel-cycle subsystem development workflow, with simulations and physical tests separated.</x:v>
      </x:c>
      <x:c r="P55" s="9" t="str">
        <x:v>false</x:v>
      </x:c>
      <x:c r="Q55" s="9" t="str">
        <x:v>false</x:v>
      </x:c>
      <x:c r="R55" s="9" t="str">
        <x:v>Tritium and fuel cycle</x:v>
      </x:c>
      <x:c r="S55" s="9" t="str">
        <x:v>target_programme_status</x:v>
      </x:c>
      <x:c r="T55" s="9" t="str">
        <x:v>programme announcement</x:v>
      </x:c>
      <x:c r="U55" s="9" t="str">
        <x:v>Inventory/process design is informational, while handling, extraction and processing tests are physical. The sources establish both functions but not that physical work predominates across all pre-integration development.</x:v>
      </x:c>
      <x:c r="V55" s="9" t="str">
        <x:v>The roadmap and future breeding programme do not demonstrate an integrated self-sufficient fuel cycle.</x:v>
      </x:c>
      <x:c r="W55" s="9" t="str">
        <x:v>not_applicable</x:v>
      </x:c>
      <x:c r="X55" s="9" t="str">
        <x:v>not_applicable</x:v>
      </x:c>
      <x:c r="Y55" s="9" t="str">
        <x:v>not_applicable</x:v>
      </x:c>
      <x:c r="Z55" s="9" t="str">
        <x:v>not_applicable</x:v>
      </x:c>
      <x:c r="AA55" s="9" t="str">
        <x:v>dr-sp-0024-s1-v1</x:v>
      </x:c>
    </x:row>
    <x:row r="56" ht="76" customHeight="1">
      <x:c r="A56" s="3" t="str">
        <x:v>sp-0024</x:v>
      </x:c>
      <x:c r="B56" s="3" t="str">
        <x:v>S2</x:v>
      </x:c>
      <x:c r="C56" s="13" t="n">
        <x:v>1</x:v>
      </x:c>
      <x:c r="D56" s="13" t="n">
        <x:v>1</x:v>
      </x:c>
      <x:c r="E56" s="13" t="n">
        <x:f>MIN(C56:D56)</x:f>
        <x:v>1</x:v>
      </x:c>
      <x:c r="F56" s="13" t="n">
        <x:f>MAX(C56:D56)</x:f>
        <x:v>1</x:v>
      </x:c>
      <x:c r="G56" s="3" t="str">
        <x:v>missing</x:v>
      </x:c>
      <x:c r="H56" s="13" t="n">
        <x:v>0</x:v>
      </x:c>
      <x:c r="I56" s="13" t="n">
        <x:v>1</x:v>
      </x:c>
      <x:c r="J56" s="3" t="str">
        <x:f>IF(H56=I56,"value","range")</x:f>
        <x:v>range</x:v>
      </x:c>
      <x:c r="K56" s="3" t="str">
        <x:v>low</x:v>
      </x:c>
      <x:c r="L56" s="3" t="str">
        <x:v>insufficient_evidence</x:v>
      </x:c>
      <x:c r="M56" s="3" t="str">
        <x:v>A slow 0-1 candidate remains uncalibrated. The separate integrated empirical gap stays open without defining every development revision.</x:v>
      </x:c>
      <x:c r="N56" s="3" t="str">
        <x:v>fusion-src-038;fusion-src-028</x:v>
      </x:c>
      <x:c r="O56" s="3" t="str">
        <x:v>Dated revisions and results for representative pre-integration processing/extraction tests, with the claimed test endpoint specified.</x:v>
      </x:c>
      <x:c r="P56" s="3" t="str">
        <x:v>false</x:v>
      </x:c>
      <x:c r="Q56" s="3" t="str">
        <x:v>false</x:v>
      </x:c>
      <x:c r="R56" s="3" t="str">
        <x:v>Tritium and fuel cycle</x:v>
      </x:c>
      <x:c r="S56" s="3" t="str">
        <x:v>target_programme_status</x:v>
      </x:c>
      <x:c r="T56" s="3" t="str">
        <x:v>programme announcement</x:v>
      </x:c>
      <x:c r="U56" s="3" t="str">
        <x:v>The ordinary loop is subsystem/process revision, representative testing and evaluation within pre-integration development. No source times that loop. Requiring a fully self-sufficient plant cycle would import later integration; programme dates do not supply development feedback.</x:v>
      </x:c>
      <x:c r="V56" s="3" t="str">
        <x:v>Future TBM breeding work is adjacent to fuel-cycle development; it neither times representative pre-integration tests nor demonstrates self-sufficiency.</x:v>
      </x:c>
      <x:c r="W56" s="3" t="str">
        <x:v>not_applicable</x:v>
      </x:c>
      <x:c r="X56" s="3" t="str">
        <x:v>not_applicable</x:v>
      </x:c>
      <x:c r="Y56" s="3" t="str">
        <x:v>not_applicable</x:v>
      </x:c>
      <x:c r="Z56" s="3" t="str">
        <x:v>not_applicable</x:v>
      </x:c>
      <x:c r="AA56" s="3" t="str">
        <x:v>dr-sp-0024-s2-v1</x:v>
      </x:c>
    </x:row>
    <x:row r="57" ht="60" customHeight="1">
      <x:c r="A57" s="9" t="str">
        <x:v>sp-0024</x:v>
      </x:c>
      <x:c r="B57" s="9" t="str">
        <x:v>S3</x:v>
      </x:c>
      <x:c r="C57" s="12" t="n">
        <x:v>1</x:v>
      </x:c>
      <x:c r="D57" s="12" t="n">
        <x:v>0</x:v>
      </x:c>
      <x:c r="E57" s="12" t="n">
        <x:f>MIN(C57:D57)</x:f>
        <x:v>0</x:v>
      </x:c>
      <x:c r="F57" s="12" t="n">
        <x:f>MAX(C57:D57)</x:f>
        <x:v>1</x:v>
      </x:c>
      <x:c r="G57" s="9" t="str">
        <x:v>prefer_seed</x:v>
      </x:c>
      <x:c r="H57" s="12" t="n">
        <x:v>1</x:v>
      </x:c>
      <x:c r="I57" s="12" t="n">
        <x:v>1</x:v>
      </x:c>
      <x:c r="J57" s="9" t="str">
        <x:f>IF(H57=I57,"value","range")</x:f>
        <x:v>value</x:v>
      </x:c>
      <x:c r="K57" s="9" t="str">
        <x:v>low</x:v>
      </x:c>
      <x:c r="L57" s="9" t="str">
        <x:v>supports_current_record</x:v>
      </x:c>
      <x:c r="M57" s="9" t="str">
        <x:v>Support owner 1 because the scope includes repeatable subsystem work as well as scarce integrated testing.</x:v>
      </x:c>
      <x:c r="N57" s="9" t="str">
        <x:v>fusion-src-038;fusion-src-028</x:v>
      </x:c>
      <x:c r="O57" s="9" t="str">
        <x:v>Cost and attainable test capacity for surrogate, tritium-subsystem and integrated-loop attempts, reported separately.</x:v>
      </x:c>
      <x:c r="P57" s="9" t="str">
        <x:v>false</x:v>
      </x:c>
      <x:c r="Q57" s="9" t="str">
        <x:v>false</x:v>
      </x:c>
      <x:c r="R57" s="9" t="str">
        <x:v>Tritium and fuel cycle</x:v>
      </x:c>
      <x:c r="S57" s="9" t="str">
        <x:v>target_programme_status</x:v>
      </x:c>
      <x:c r="T57" s="9" t="str">
        <x:v>programme announcement</x:v>
      </x:c>
      <x:c r="U57" s="9" t="str">
        <x:v>Modelling, surrogate loops and subsystem attempts can be relatively cheap and repeatable. Tritium-capable representative tests require inventory and specialized facilities, sharply restricting decisive throughput.</x:v>
      </x:c>
      <x:c r="V57" s="9" t="str">
        <x:v>The canonical set supplies no observed cost/throughput ledger or complete pilot-scale loop.</x:v>
      </x:c>
      <x:c r="W57" s="9" t="str">
        <x:v>not_applicable</x:v>
      </x:c>
      <x:c r="X57" s="9" t="str">
        <x:v>not_applicable</x:v>
      </x:c>
      <x:c r="Y57" s="9" t="str">
        <x:v>not_applicable</x:v>
      </x:c>
      <x:c r="Z57" s="9" t="str">
        <x:v>not_applicable</x:v>
      </x:c>
      <x:c r="AA57" s="9" t="str">
        <x:v>dr-sp-0024-s3-v1</x:v>
      </x:c>
    </x:row>
    <x:row r="58" ht="60" customHeight="1">
      <x:c r="A58" s="3" t="str">
        <x:v>sp-0024</x:v>
      </x:c>
      <x:c r="B58" s="3" t="str">
        <x:v>S4</x:v>
      </x:c>
      <x:c r="C58" s="13" t="n">
        <x:v>1</x:v>
      </x:c>
      <x:c r="D58" s="13" t="n">
        <x:v>1</x:v>
      </x:c>
      <x:c r="E58" s="13" t="n">
        <x:f>MIN(C58:D58)</x:f>
        <x:v>1</x:v>
      </x:c>
      <x:c r="F58" s="13" t="n">
        <x:f>MAX(C58:D58)</x:f>
        <x:v>1</x:v>
      </x:c>
      <x:c r="G58" s="3" t="str">
        <x:v>missing</x:v>
      </x:c>
      <x:c r="H58" s="13" t="n">
        <x:v>1</x:v>
      </x:c>
      <x:c r="I58" s="13" t="n">
        <x:v>2</x:v>
      </x:c>
      <x:c r="J58" s="3" t="str">
        <x:f>IF(H58=I58,"value","range")</x:f>
        <x:v>range</x:v>
      </x:c>
      <x:c r="K58" s="3" t="str">
        <x:v>low</x:v>
      </x:c>
      <x:c r="L58" s="3" t="str">
        <x:v>requires_human_expert</x:v>
      </x:c>
      <x:c r="M58" s="3" t="str">
        <x:v>1-2 requires a fuel-cycle specialist to separate intrinsic processes from access delay and later integrated operation.</x:v>
      </x:c>
      <x:c r="N58" s="3" t="str">
        <x:v>fusion-src-038;fusion-src-028</x:v>
      </x:c>
      <x:c r="O58" s="3" t="str">
        <x:v>A process-specific duration budget for physical tests, excluding approval and facility booking waits.</x:v>
      </x:c>
      <x:c r="P58" s="3" t="str">
        <x:v>true</x:v>
      </x:c>
      <x:c r="Q58" s="3" t="str">
        <x:v>true</x:v>
      </x:c>
      <x:c r="R58" s="3" t="str">
        <x:v>Tritium and fuel cycle</x:v>
      </x:c>
      <x:c r="S58" s="3" t="str">
        <x:v>target_programme_status</x:v>
      </x:c>
      <x:c r="T58" s="3" t="str">
        <x:v>programme announcement</x:v>
      </x:c>
      <x:c r="U58" s="3" t="str">
        <x:v>Retention/permeation, equilibration, inventory residence and physical conditioning can set test-duration floors. Licensing windows and authorization queues are institutional and must be removed from the seed S4 rationale.</x:v>
      </x:c>
      <x:c r="V58" s="3" t="str">
        <x:v>The cited programme sources do not establish which of these processes dominates a specified pre-integration development loop.</x:v>
      </x:c>
      <x:c r="W58" s="3" t="str">
        <x:v>not_applicable</x:v>
      </x:c>
      <x:c r="X58" s="3" t="str">
        <x:v>not_applicable</x:v>
      </x:c>
      <x:c r="Y58" s="3" t="str">
        <x:v>not_applicable</x:v>
      </x:c>
      <x:c r="Z58" s="3" t="str">
        <x:v>not_applicable</x:v>
      </x:c>
      <x:c r="AA58" s="3" t="str">
        <x:v>dr-sp-0024-s4-v1</x:v>
      </x:c>
    </x:row>
    <x:row r="59" ht="60" customHeight="1">
      <x:c r="A59" s="9" t="str">
        <x:v>sp-0024</x:v>
      </x:c>
      <x:c r="B59" s="9" t="str">
        <x:v>S5</x:v>
      </x:c>
      <x:c r="C59" s="12" t="n">
        <x:v>1</x:v>
      </x:c>
      <x:c r="D59" s="12" t="n">
        <x:v>0</x:v>
      </x:c>
      <x:c r="E59" s="12" t="n">
        <x:f>MIN(C59:D59)</x:f>
        <x:v>0</x:v>
      </x:c>
      <x:c r="F59" s="12" t="n">
        <x:f>MAX(C59:D59)</x:f>
        <x:v>1</x:v>
      </x:c>
      <x:c r="G59" s="9" t="str">
        <x:v>prefer_seed</x:v>
      </x:c>
      <x:c r="H59" s="12" t="n">
        <x:v>1</x:v>
      </x:c>
      <x:c r="I59" s="12" t="n">
        <x:v>1</x:v>
      </x:c>
      <x:c r="J59" s="9" t="str">
        <x:f>IF(H59=I59,"value","range")</x:f>
        <x:v>value</x:v>
      </x:c>
      <x:c r="K59" s="9" t="str">
        <x:v>low</x:v>
      </x:c>
      <x:c r="L59" s="9" t="str">
        <x:v>requires_human_expert</x:v>
      </x:c>
      <x:c r="M59" s="9" t="str">
        <x:v>Owner 1 is technically plausible but needs a named specialist to substantiate the boundary before approval.</x:v>
      </x:c>
      <x:c r="N59" s="9" t="str">
        <x:v>fusion-src-038;fusion-src-028</x:v>
      </x:c>
      <x:c r="O59" s="9" t="str">
        <x:v>A development-loop inventory, release envelope and independent confinement/accountancy assurance analysis.</x:v>
      </x:c>
      <x:c r="P59" s="9" t="str">
        <x:v>true</x:v>
      </x:c>
      <x:c r="Q59" s="9" t="str">
        <x:v>true</x:v>
      </x:c>
      <x:c r="R59" s="9" t="str">
        <x:v>Tritium and fuel cycle</x:v>
      </x:c>
      <x:c r="S59" s="9" t="str">
        <x:v>target_programme_status</x:v>
      </x:c>
      <x:c r="T59" s="9" t="str">
        <x:v>programme announcement</x:v>
      </x:c>
      <x:c r="U59" s="9" t="str">
        <x:v>Erroneous tritium handling or accountancy can cause direct contamination or loss before independent confinement/monitoring acts. Many development mistakes remain recoverable; downstream plant-wide cascades are outside this bounded assessment.</x:v>
      </x:c>
      <x:c r="V59" s="9" t="str">
        <x:v>The programme sources are not a development safety case and do not establish the independence of credited containment.</x:v>
      </x:c>
      <x:c r="W59" s="9" t="str">
        <x:v>Tritium loss, local contamination and invalid inventory results before independent containment/monitoring.</x:v>
      </x:c>
      <x:c r="X59" s="9" t="str">
        <x:v>Independent secondary confinement/isolation and separately verified inventory or release monitoring.</x:v>
      </x:c>
      <x:c r="Y59" s="9" t="str">
        <x:v>Remote public or plant-wide cascades requiring additional independent confinement or operating failures.</x:v>
      </x:c>
      <x:c r="Z59" s="9" t="str">
        <x:v>assumed_not_verified</x:v>
      </x:c>
      <x:c r="AA59" s="9" t="str">
        <x:v>dr-sp-0024-s5-v1</x:v>
      </x:c>
    </x:row>
    <x:row r="60" ht="60" customHeight="1">
      <x:c r="A60" s="3" t="str">
        <x:v>sp-0025</x:v>
      </x:c>
      <x:c r="B60" s="3" t="str">
        <x:v>S1</x:v>
      </x:c>
      <x:c r="C60" s="13" t="n">
        <x:v>2</x:v>
      </x:c>
      <x:c r="D60" s="13" t="n">
        <x:v>2</x:v>
      </x:c>
      <x:c r="E60" s="13" t="n">
        <x:f>MIN(C60:D60)</x:f>
        <x:v>2</x:v>
      </x:c>
      <x:c r="F60" s="13" t="n">
        <x:f>MAX(C60:D60)</x:f>
        <x:v>2</x:v>
      </x:c>
      <x:c r="G60" s="3" t="str">
        <x:v>missing</x:v>
      </x:c>
      <x:c r="H60" s="13" t="n">
        <x:v>2</x:v>
      </x:c>
      <x:c r="I60" s="13" t="n">
        <x:v>2</x:v>
      </x:c>
      <x:c r="J60" s="3" t="str">
        <x:f>IF(H60=I60,"value","range")</x:f>
        <x:v>value</x:v>
      </x:c>
      <x:c r="K60" s="3" t="str">
        <x:v>medium</x:v>
      </x:c>
      <x:c r="L60" s="3" t="str">
        <x:v>supports_current_record</x:v>
      </x:c>
      <x:c r="M60" s="3" t="str">
        <x:v>Support the shared mixed 2 while keeping the integrated qualification gap explicit.</x:v>
      </x:c>
      <x:c r="N60" s="3" t="str">
        <x:v>fusion-src-038;fusion-src-028</x:v>
      </x:c>
      <x:c r="O60" s="3" t="str">
        <x:v>A specified blanket concept and development test scope, or an explicit analysis-only variant.</x:v>
      </x:c>
      <x:c r="P60" s="3" t="str">
        <x:v>false</x:v>
      </x:c>
      <x:c r="Q60" s="3" t="str">
        <x:v>false</x:v>
      </x:c>
      <x:c r="R60" s="3" t="str">
        <x:v>Blankets</x:v>
      </x:c>
      <x:c r="S60" s="3" t="str">
        <x:v>target_programme_status</x:v>
      </x:c>
      <x:c r="T60" s="3" t="str">
        <x:v>programme announcement</x:v>
      </x:c>
      <x:c r="U60" s="3" t="str">
        <x:v>Blanket development combines neutronics, thermal/structural analysis and physical module/testing work. Missing integrated validation does not make existing work purely informational.</x:v>
      </x:c>
      <x:c r="V60" s="3" t="str">
        <x:v>Future TBM testing supplies a relevant development architecture, not a qualified blanket or completed breeding outcome.</x:v>
      </x:c>
      <x:c r="W60" s="3" t="str">
        <x:v>not_applicable</x:v>
      </x:c>
      <x:c r="X60" s="3" t="str">
        <x:v>not_applicable</x:v>
      </x:c>
      <x:c r="Y60" s="3" t="str">
        <x:v>not_applicable</x:v>
      </x:c>
      <x:c r="Z60" s="3" t="str">
        <x:v>not_applicable</x:v>
      </x:c>
      <x:c r="AA60" s="3" t="str">
        <x:v>dr-sp-0025-s1-v1</x:v>
      </x:c>
    </x:row>
    <x:row r="61" ht="60" customHeight="1">
      <x:c r="A61" s="9" t="str">
        <x:v>sp-0025</x:v>
      </x:c>
      <x:c r="B61" s="9" t="str">
        <x:v>S2</x:v>
      </x:c>
      <x:c r="C61" s="12" t="n">
        <x:v>0</x:v>
      </x:c>
      <x:c r="D61" s="12" t="n">
        <x:v>1</x:v>
      </x:c>
      <x:c r="E61" s="12" t="n">
        <x:f>MIN(C61:D61)</x:f>
        <x:v>0</x:v>
      </x:c>
      <x:c r="F61" s="12" t="n">
        <x:f>MAX(C61:D61)</x:f>
        <x:v>1</x:v>
      </x:c>
      <x:c r="G61" s="9" t="str">
        <x:v>prefer_seed</x:v>
      </x:c>
      <x:c r="H61" s="12" t="n">
        <x:v>0</x:v>
      </x:c>
      <x:c r="I61" s="12" t="n">
        <x:v>1</x:v>
      </x:c>
      <x:c r="J61" s="9" t="str">
        <x:f>IF(H61=I61,"value","range")</x:f>
        <x:v>range</x:v>
      </x:c>
      <x:c r="K61" s="9" t="str">
        <x:v>low</x:v>
      </x:c>
      <x:c r="L61" s="9" t="str">
        <x:v>requires_human_expert</x:v>
      </x:c>
      <x:c r="M61" s="9" t="str">
        <x:v>Preserve owner 0 and recommend 0-1 pending a named specialist's definition of the decisive development test.</x:v>
      </x:c>
      <x:c r="N61" s="9" t="str">
        <x:v>fusion-src-038;fusion-src-028</x:v>
      </x:c>
      <x:c r="O61" s="9" t="str">
        <x:v>A concept-specific development plan identifying which integrated experiment closes each design revision.</x:v>
      </x:c>
      <x:c r="P61" s="9" t="str">
        <x:v>true</x:v>
      </x:c>
      <x:c r="Q61" s="9" t="str">
        <x:v>true</x:v>
      </x:c>
      <x:c r="R61" s="9" t="str">
        <x:v>Blankets</x:v>
      </x:c>
      <x:c r="S61" s="9" t="str">
        <x:v>target_programme_status</x:v>
      </x:c>
      <x:c r="T61" s="9" t="str">
        <x:v>programme announcement</x:v>
      </x:c>
      <x:c r="U61" s="9" t="str">
        <x:v>The owner selects 0 for integrated breeding-blanket validation. Yet the frozen development stage also contains repeatable subcomponent revision; future TBM testing does not empirically time the ordinary stage-wide loop.</x:v>
      </x:c>
      <x:c r="V61" s="9" t="str">
        <x:v>ITER tests mock-ups and requires further research for large-scale production/recycling; it is not a qualified power-plant blanket.</x:v>
      </x:c>
      <x:c r="W61" s="9" t="str">
        <x:v>not_applicable</x:v>
      </x:c>
      <x:c r="X61" s="9" t="str">
        <x:v>not_applicable</x:v>
      </x:c>
      <x:c r="Y61" s="9" t="str">
        <x:v>not_applicable</x:v>
      </x:c>
      <x:c r="Z61" s="9" t="str">
        <x:v>not_applicable</x:v>
      </x:c>
      <x:c r="AA61" s="9" t="str">
        <x:v>dr-sp-0025-s2-v1</x:v>
      </x:c>
    </x:row>
    <x:row r="62" ht="60" customHeight="1">
      <x:c r="A62" s="3" t="str">
        <x:v>sp-0025</x:v>
      </x:c>
      <x:c r="B62" s="3" t="str">
        <x:v>S3</x:v>
      </x:c>
      <x:c r="C62" s="13" t="n">
        <x:v>1</x:v>
      </x:c>
      <x:c r="D62" s="13" t="n">
        <x:v>1</x:v>
      </x:c>
      <x:c r="E62" s="13" t="n">
        <x:f>MIN(C62:D62)</x:f>
        <x:v>1</x:v>
      </x:c>
      <x:c r="F62" s="13" t="n">
        <x:f>MAX(C62:D62)</x:f>
        <x:v>1</x:v>
      </x:c>
      <x:c r="G62" s="3" t="str">
        <x:v>missing</x:v>
      </x:c>
      <x:c r="H62" s="13" t="n">
        <x:v>1</x:v>
      </x:c>
      <x:c r="I62" s="13" t="n">
        <x:v>1</x:v>
      </x:c>
      <x:c r="J62" s="3" t="str">
        <x:f>IF(H62=I62,"value","range")</x:f>
        <x:v>value</x:v>
      </x:c>
      <x:c r="K62" s="3" t="str">
        <x:v>low</x:v>
      </x:c>
      <x:c r="L62" s="3" t="str">
        <x:v>supports_current_record</x:v>
      </x:c>
      <x:c r="M62" s="3" t="str">
        <x:v>The shared low intermediate 1 preserves both repeatability and scarce decisive validation.</x:v>
      </x:c>
      <x:c r="N62" s="3" t="str">
        <x:v>fusion-src-038</x:v>
      </x:c>
      <x:c r="O62" s="3" t="str">
        <x:v>A concept-specific costed test programme with usable parallel integrated test capacity.</x:v>
      </x:c>
      <x:c r="P62" s="3" t="str">
        <x:v>false</x:v>
      </x:c>
      <x:c r="Q62" s="3" t="str">
        <x:v>false</x:v>
      </x:c>
      <x:c r="R62" s="3" t="str">
        <x:v>Blankets</x:v>
      </x:c>
      <x:c r="S62" s="3" t="str">
        <x:v>target_programme_status</x:v>
      </x:c>
      <x:c r="T62" s="3" t="str">
        <x:v>programme announcement</x:v>
      </x:c>
      <x:c r="U62" s="3" t="str">
        <x:v>Analytical and subcomponent attempts have lower marginal cost and can run in parallel. Integrated module tests are costly and bounded by representative ports, facilities and exposure opportunities.</x:v>
      </x:c>
      <x:c r="V62" s="3" t="str">
        <x:v>The four TBM concepts/two-port programme is planned capacity, not completed throughput or an observed cost ledger.</x:v>
      </x:c>
      <x:c r="W62" s="3" t="str">
        <x:v>not_applicable</x:v>
      </x:c>
      <x:c r="X62" s="3" t="str">
        <x:v>not_applicable</x:v>
      </x:c>
      <x:c r="Y62" s="3" t="str">
        <x:v>not_applicable</x:v>
      </x:c>
      <x:c r="Z62" s="3" t="str">
        <x:v>not_applicable</x:v>
      </x:c>
      <x:c r="AA62" s="3" t="str">
        <x:v>dr-sp-0025-s3-v1</x:v>
      </x:c>
    </x:row>
    <x:row r="63" ht="60" customHeight="1">
      <x:c r="A63" s="9" t="str">
        <x:v>sp-0025</x:v>
      </x:c>
      <x:c r="B63" s="9" t="str">
        <x:v>S4</x:v>
      </x:c>
      <x:c r="C63" s="12" t="n">
        <x:v>1</x:v>
      </x:c>
      <x:c r="D63" s="12" t="n">
        <x:v>1</x:v>
      </x:c>
      <x:c r="E63" s="12" t="n">
        <x:f>MIN(C63:D63)</x:f>
        <x:v>1</x:v>
      </x:c>
      <x:c r="F63" s="12" t="n">
        <x:f>MAX(C63:D63)</x:f>
        <x:v>1</x:v>
      </x:c>
      <x:c r="G63" s="9" t="str">
        <x:v>missing</x:v>
      </x:c>
      <x:c r="H63" s="12" t="n">
        <x:v>0</x:v>
      </x:c>
      <x:c r="I63" s="12" t="n">
        <x:v>1</x:v>
      </x:c>
      <x:c r="J63" s="9" t="str">
        <x:f>IF(H63=I63,"value","range")</x:f>
        <x:v>range</x:v>
      </x:c>
      <x:c r="K63" s="9" t="str">
        <x:v>low</x:v>
      </x:c>
      <x:c r="L63" s="9" t="str">
        <x:v>requires_pathway_variant</x:v>
      </x:c>
      <x:c r="M63" s="9" t="str">
        <x:v>0-1 should be scoped by blanket concept rather than inherited from one generic unavailable test environment.</x:v>
      </x:c>
      <x:c r="N63" s="9" t="str">
        <x:v>fusion-src-038;fusion-src-045</x:v>
      </x:c>
      <x:c r="O63" s="9" t="str">
        <x:v>An explicit blanket concept with physical exposure and conditioning requirements, including the limits of surrogate tests.</x:v>
      </x:c>
      <x:c r="P63" s="9" t="str">
        <x:v>false</x:v>
      </x:c>
      <x:c r="Q63" s="9" t="str">
        <x:v>true</x:v>
      </x:c>
      <x:c r="R63" s="9" t="str">
        <x:v>Blankets</x:v>
      </x:c>
      <x:c r="S63" s="9" t="str">
        <x:v>target_programme_status;adjacent_stage_analogy</x:v>
      </x:c>
      <x:c r="T63" s="9" t="str">
        <x:v>programme announcement; model or scenario estimate</x:v>
      </x:c>
      <x:c r="U63" s="9" t="str">
        <x:v>Prototype preparation, thermal/cyclic operation and irradiation create physical floors where required for concept validation. Lack of a facility and regulatory queues are not themselves elapsed physical processes.</x:v>
      </x:c>
      <x:c r="V63" s="9" t="str">
        <x:v>Materials irradiation is adjacent to blanket-system development; solid/liquid breeder and coolant/test routes need distinct representativeness arguments.</x:v>
      </x:c>
      <x:c r="W63" s="9" t="str">
        <x:v>not_applicable</x:v>
      </x:c>
      <x:c r="X63" s="9" t="str">
        <x:v>not_applicable</x:v>
      </x:c>
      <x:c r="Y63" s="9" t="str">
        <x:v>not_applicable</x:v>
      </x:c>
      <x:c r="Z63" s="9" t="str">
        <x:v>not_applicable</x:v>
      </x:c>
      <x:c r="AA63" s="9" t="str">
        <x:v>dr-sp-0025-s4-v1</x:v>
      </x:c>
    </x:row>
    <x:row r="64" ht="76" customHeight="1">
      <x:c r="A64" s="3" t="str">
        <x:v>sp-0025</x:v>
      </x:c>
      <x:c r="B64" s="3" t="str">
        <x:v>S5</x:v>
      </x:c>
      <x:c r="C64" s="13" t="n">
        <x:v>1</x:v>
      </x:c>
      <x:c r="D64" s="13" t="n">
        <x:v>0</x:v>
      </x:c>
      <x:c r="E64" s="13" t="n">
        <x:f>MIN(C64:D64)</x:f>
        <x:v>0</x:v>
      </x:c>
      <x:c r="F64" s="13" t="n">
        <x:f>MAX(C64:D64)</x:f>
        <x:v>1</x:v>
      </x:c>
      <x:c r="G64" s="3" t="str">
        <x:v>prefer_seed</x:v>
      </x:c>
      <x:c r="H64" s="13" t="n">
        <x:v>1</x:v>
      </x:c>
      <x:c r="I64" s="13" t="n">
        <x:v>1</x:v>
      </x:c>
      <x:c r="J64" s="3" t="str">
        <x:f>IF(H64=I64,"value","range")</x:f>
        <x:v>value</x:v>
      </x:c>
      <x:c r="K64" s="3" t="str">
        <x:v>low</x:v>
      </x:c>
      <x:c r="L64" s="3" t="str">
        <x:v>requires_human_expert</x:v>
      </x:c>
      <x:c r="M64" s="3" t="str">
        <x:v>Support owner 1 as a provisional recommendation with a specialist gate, not automatic worst-case 0.</x:v>
      </x:c>
      <x:c r="N64" s="3" t="str">
        <x:v>fusion-src-038;fusion-src-028</x:v>
      </x:c>
      <x:c r="O64" s="3" t="str">
        <x:v>Concept-specific development hazard analysis and independent test/acceptance boundaries.</x:v>
      </x:c>
      <x:c r="P64" s="3" t="str">
        <x:v>true</x:v>
      </x:c>
      <x:c r="Q64" s="3" t="str">
        <x:v>true</x:v>
      </x:c>
      <x:c r="R64" s="3" t="str">
        <x:v>Blankets</x:v>
      </x:c>
      <x:c r="S64" s="3" t="str">
        <x:v>target_programme_status</x:v>
      </x:c>
      <x:c r="T64" s="3" t="str">
        <x:v>programme announcement</x:v>
      </x:c>
      <x:c r="U64" s="3" t="str">
        <x:v>Erroneous blanket testing can damage a scarce article or produce local chemical/radiological consequences before independent test protection. Correctly observed test failure is information; later operating heat-removal or fuel-cycle failures require separate assurance allocation.</x:v>
      </x:c>
      <x:c r="V64" s="3" t="str">
        <x:v>Future TBM plans do not establish a concept-specific hazard envelope or independent acceptance boundary.</x:v>
      </x:c>
      <x:c r="W64" s="3" t="str">
        <x:v>Test-article damage, invalid breeding/thermal evidence and local material-release consequences before independent protection.</x:v>
      </x:c>
      <x:c r="X64" s="3" t="str">
        <x:v>Independent test-module isolation/protection and subsequent blanket integration acceptance.</x:v>
      </x:c>
      <x:c r="Y64" s="3" t="str">
        <x:v>Later plant heat-removal or fuel-cycle cascades requiring additional independent integration or operating failures.</x:v>
      </x:c>
      <x:c r="Z64" s="3" t="str">
        <x:v>assumed_not_verified</x:v>
      </x:c>
      <x:c r="AA64" s="3" t="str">
        <x:v>dr-sp-0025-s5-v1</x:v>
      </x:c>
    </x:row>
    <x:row r="65" ht="60" customHeight="1">
      <x:c r="A65" s="9" t="str">
        <x:v>sp-0026</x:v>
      </x:c>
      <x:c r="B65" s="9" t="str">
        <x:v>S1</x:v>
      </x:c>
      <x:c r="C65" s="12" t="n">
        <x:v>1</x:v>
      </x:c>
      <x:c r="D65" s="12" t="n">
        <x:v>0</x:v>
      </x:c>
      <x:c r="E65" s="12" t="n">
        <x:f>MIN(C65:D65)</x:f>
        <x:v>0</x:v>
      </x:c>
      <x:c r="F65" s="12" t="n">
        <x:f>MAX(C65:D65)</x:f>
        <x:v>1</x:v>
      </x:c>
      <x:c r="G65" s="9" t="str">
        <x:v>missing</x:v>
      </x:c>
      <x:c r="H65" s="12" t="n">
        <x:v>0</x:v>
      </x:c>
      <x:c r="I65" s="12" t="n">
        <x:v>0</x:v>
      </x:c>
      <x:c r="J65" s="9" t="str">
        <x:f>IF(H65=I65,"value","range")</x:f>
        <x:v>value</x:v>
      </x:c>
      <x:c r="K65" s="9" t="str">
        <x:v>medium</x:v>
      </x:c>
      <x:c r="L65" s="9" t="str">
        <x:v>recommends_value_change</x:v>
      </x:c>
      <x:c r="M65" s="9" t="str">
        <x:v>Prefer independent 0 over seed 1 under the rubric's primarily physical definition.</x:v>
      </x:c>
      <x:c r="N65" s="9" t="str">
        <x:v>fusion-src-014;fusion-src-037</x:v>
      </x:c>
      <x:c r="O65" s="9" t="str">
        <x:v>Revisit if the frozen scope changes from fabrication to process design or an evidence-backed route changes how production occurs.</x:v>
      </x:c>
      <x:c r="P65" s="9" t="str">
        <x:v>false</x:v>
      </x:c>
      <x:c r="Q65" s="9" t="str">
        <x:v>true</x:v>
      </x:c>
      <x:c r="R65" s="9" t="str">
        <x:v>Component fabrication</x:v>
      </x:c>
      <x:c r="S65" s="9" t="str">
        <x:v>exact_stage;adjacent_stage_analogy</x:v>
      </x:c>
      <x:c r="T65" s="9" t="str">
        <x:v>proof of concept; observed facility milestone</x:v>
      </x:c>
      <x:c r="U65" s="9" t="str">
        <x:v>Fabrication after design maturity advances through physical production, joining and inspection. Metrology and process instructions support that work; their existence does not invalidate the primarily-physical 0 anchor.</x:v>
      </x:c>
      <x:c r="V65" s="9" t="str">
        <x:v>HH70 magnet manufacture is a bounded research-device example; ITER assembly is adjacent confirmation of physical components, not a pilot factory performance dataset.</x:v>
      </x:c>
      <x:c r="W65" s="9" t="str">
        <x:v>not_applicable</x:v>
      </x:c>
      <x:c r="X65" s="9" t="str">
        <x:v>not_applicable</x:v>
      </x:c>
      <x:c r="Y65" s="9" t="str">
        <x:v>not_applicable</x:v>
      </x:c>
      <x:c r="Z65" s="9" t="str">
        <x:v>not_applicable</x:v>
      </x:c>
      <x:c r="AA65" s="9" t="str">
        <x:v>dr-sp-0026-s1-v1</x:v>
      </x:c>
    </x:row>
    <x:row r="66" ht="60" customHeight="1">
      <x:c r="A66" s="3" t="str">
        <x:v>sp-0026</x:v>
      </x:c>
      <x:c r="B66" s="3" t="str">
        <x:v>S2</x:v>
      </x:c>
      <x:c r="C66" s="13" t="n">
        <x:v>1</x:v>
      </x:c>
      <x:c r="D66" s="13" t="n">
        <x:v>1</x:v>
      </x:c>
      <x:c r="E66" s="13" t="n">
        <x:f>MIN(C66:D66)</x:f>
        <x:v>1</x:v>
      </x:c>
      <x:c r="F66" s="13" t="n">
        <x:f>MAX(C66:D66)</x:f>
        <x:v>1</x:v>
      </x:c>
      <x:c r="G66" s="3" t="str">
        <x:v>missing</x:v>
      </x:c>
      <x:c r="H66" s="13" t="n">
        <x:v>1</x:v>
      </x:c>
      <x:c r="I66" s="13" t="n">
        <x:v>1</x:v>
      </x:c>
      <x:c r="J66" s="3" t="str">
        <x:f>IF(H66=I66,"value","range")</x:f>
        <x:v>value</x:v>
      </x:c>
      <x:c r="K66" s="3" t="str">
        <x:v>low</x:v>
      </x:c>
      <x:c r="L66" s="3" t="str">
        <x:v>supports_current_record</x:v>
      </x:c>
      <x:c r="M66" s="3" t="str">
        <x:v>Keep the shared intermediate 1 as a structural candidate, not a measured duration.</x:v>
      </x:c>
      <x:c r="N66" s="3" t="str">
        <x:v>fusion-src-014</x:v>
      </x:c>
      <x:c r="O66" s="3" t="str">
        <x:v>A fabrication traveller/rework log with attempt, inspection and revision dates for a representative component.</x:v>
      </x:c>
      <x:c r="P66" s="3" t="str">
        <x:v>false</x:v>
      </x:c>
      <x:c r="Q66" s="3" t="str">
        <x:v>false</x:v>
      </x:c>
      <x:c r="R66" s="3" t="str">
        <x:v>Component fabrication</x:v>
      </x:c>
      <x:c r="S66" s="3" t="str">
        <x:v>exact_stage</x:v>
      </x:c>
      <x:c r="T66" s="3" t="str">
        <x:v>proof of concept</x:v>
      </x:c>
      <x:c r="U66" s="3" t="str">
        <x:v>The decisive loop includes completing and checking a representative component and revising the production process. A completion milestone alone does not time that learn-test-revise cycle.</x:v>
      </x:c>
      <x:c r="V66" s="3" t="str">
        <x:v>Research magnet manufacture cannot establish a universal pilot component cycle; exact month/year claims in the submissions remain unverified.</x:v>
      </x:c>
      <x:c r="W66" s="3" t="str">
        <x:v>not_applicable</x:v>
      </x:c>
      <x:c r="X66" s="3" t="str">
        <x:v>not_applicable</x:v>
      </x:c>
      <x:c r="Y66" s="3" t="str">
        <x:v>not_applicable</x:v>
      </x:c>
      <x:c r="Z66" s="3" t="str">
        <x:v>not_applicable</x:v>
      </x:c>
      <x:c r="AA66" s="3" t="str">
        <x:v>dr-sp-0026-s2-v1</x:v>
      </x:c>
    </x:row>
    <x:row r="67" ht="60" customHeight="1">
      <x:c r="A67" s="9" t="str">
        <x:v>sp-0026</x:v>
      </x:c>
      <x:c r="B67" s="9" t="str">
        <x:v>S3</x:v>
      </x:c>
      <x:c r="C67" s="12" t="n">
        <x:v>1</x:v>
      </x:c>
      <x:c r="D67" s="12" t="n">
        <x:v>0</x:v>
      </x:c>
      <x:c r="E67" s="12" t="n">
        <x:f>MIN(C67:D67)</x:f>
        <x:v>0</x:v>
      </x:c>
      <x:c r="F67" s="12" t="n">
        <x:f>MAX(C67:D67)</x:f>
        <x:v>1</x:v>
      </x:c>
      <x:c r="G67" s="9" t="str">
        <x:v>missing</x:v>
      </x:c>
      <x:c r="H67" s="12" t="n">
        <x:v>0</x:v>
      </x:c>
      <x:c r="I67" s="12" t="n">
        <x:v>1</x:v>
      </x:c>
      <x:c r="J67" s="9" t="str">
        <x:f>IF(H67=I67,"value","range")</x:f>
        <x:v>range</x:v>
      </x:c>
      <x:c r="K67" s="9" t="str">
        <x:v>low</x:v>
      </x:c>
      <x:c r="L67" s="9" t="str">
        <x:v>recommends_range</x:v>
      </x:c>
      <x:c r="M67" s="9" t="str">
        <x:v>Preserve 0-1 and reject both invented currency amounts and a claim of no possible repetition.</x:v>
      </x:c>
      <x:c r="N67" s="9" t="str">
        <x:v>fusion-src-014;fusion-src-037</x:v>
      </x:c>
      <x:c r="O67" s="9" t="str">
        <x:v>Cost and capacity records separating coupon, subassembly and full-component production attempts.</x:v>
      </x:c>
      <x:c r="P67" s="9" t="str">
        <x:v>false</x:v>
      </x:c>
      <x:c r="Q67" s="9" t="str">
        <x:v>false</x:v>
      </x:c>
      <x:c r="R67" s="9" t="str">
        <x:v>Component fabrication</x:v>
      </x:c>
      <x:c r="S67" s="9" t="str">
        <x:v>exact_stage;adjacent_stage_analogy</x:v>
      </x:c>
      <x:c r="T67" s="9" t="str">
        <x:v>proof of concept; observed facility milestone</x:v>
      </x:c>
      <x:c r="U67" s="9" t="str">
        <x:v>Full-component attempts consume substantial material and specialist production capacity. Coupons and subassemblies cost less and can proceed in parallel, while repeat components permit some serial learning.</x:v>
      </x:c>
      <x:c r="V67" s="9" t="str">
        <x:v>The source set lacks a unit-cost/attainable-throughput ledger; counts of assembled sectors are not evidence of free repeated full-component attempts.</x:v>
      </x:c>
      <x:c r="W67" s="9" t="str">
        <x:v>not_applicable</x:v>
      </x:c>
      <x:c r="X67" s="9" t="str">
        <x:v>not_applicable</x:v>
      </x:c>
      <x:c r="Y67" s="9" t="str">
        <x:v>not_applicable</x:v>
      </x:c>
      <x:c r="Z67" s="9" t="str">
        <x:v>not_applicable</x:v>
      </x:c>
      <x:c r="AA67" s="9" t="str">
        <x:v>dr-sp-0026-s3-v1</x:v>
      </x:c>
    </x:row>
    <x:row r="68" ht="60" customHeight="1">
      <x:c r="A68" s="3" t="str">
        <x:v>sp-0026</x:v>
      </x:c>
      <x:c r="B68" s="3" t="str">
        <x:v>S4</x:v>
      </x:c>
      <x:c r="C68" s="13" t="n">
        <x:v>0</x:v>
      </x:c>
      <x:c r="D68" s="13" t="n">
        <x:v>0</x:v>
      </x:c>
      <x:c r="E68" s="13" t="n">
        <x:f>MIN(C68:D68)</x:f>
        <x:v>0</x:v>
      </x:c>
      <x:c r="F68" s="13" t="n">
        <x:f>MAX(C68:D68)</x:f>
        <x:v>0</x:v>
      </x:c>
      <x:c r="G68" s="3" t="str">
        <x:v>missing</x:v>
      </x:c>
      <x:c r="H68" s="13" t="n">
        <x:v>0</x:v>
      </x:c>
      <x:c r="I68" s="13" t="n">
        <x:v>0</x:v>
      </x:c>
      <x:c r="J68" s="3" t="str">
        <x:f>IF(H68=I68,"value","range")</x:f>
        <x:v>value</x:v>
      </x:c>
      <x:c r="K68" s="3" t="str">
        <x:v>medium</x:v>
      </x:c>
      <x:c r="L68" s="3" t="str">
        <x:v>supports_current_record</x:v>
      </x:c>
      <x:c r="M68" s="3" t="str">
        <x:v>The shared 0 is a stage-structure judgment; AI may improve process work without eliminating material operations.</x:v>
      </x:c>
      <x:c r="N68" s="3" t="str">
        <x:v>fusion-src-014</x:v>
      </x:c>
      <x:c r="O68" s="3" t="str">
        <x:v>A validated production-process change that removes a dominant physical step rather than only reducing queueing.</x:v>
      </x:c>
      <x:c r="P68" s="3" t="str">
        <x:v>false</x:v>
      </x:c>
      <x:c r="Q68" s="3" t="str">
        <x:v>false</x:v>
      </x:c>
      <x:c r="R68" s="3" t="str">
        <x:v>Component fabrication</x:v>
      </x:c>
      <x:c r="S68" s="3" t="str">
        <x:v>exact_stage</x:v>
      </x:c>
      <x:c r="T68" s="3" t="str">
        <x:v>proof of concept</x:v>
      </x:c>
      <x:c r="U68" s="3" t="str">
        <x:v>Physical manufacture, joining and required inspection dominate this post-design stage. Off-site fabrication belongs here; later site assembly and institutional procurement waits do not justify the value.</x:v>
      </x:c>
      <x:c r="V68" s="3" t="str">
        <x:v>The magnet engineering example supports an intrinsic fabrication sequence, not a universal duration or claims that all process times are immutable.</x:v>
      </x:c>
      <x:c r="W68" s="3" t="str">
        <x:v>not_applicable</x:v>
      </x:c>
      <x:c r="X68" s="3" t="str">
        <x:v>not_applicable</x:v>
      </x:c>
      <x:c r="Y68" s="3" t="str">
        <x:v>not_applicable</x:v>
      </x:c>
      <x:c r="Z68" s="3" t="str">
        <x:v>not_applicable</x:v>
      </x:c>
      <x:c r="AA68" s="3" t="str">
        <x:v>dr-sp-0026-s4-v1</x:v>
      </x:c>
    </x:row>
    <x:row r="69" ht="60" customHeight="1">
      <x:c r="A69" s="9" t="str">
        <x:v>sp-0026</x:v>
      </x:c>
      <x:c r="B69" s="9" t="str">
        <x:v>S5</x:v>
      </x:c>
      <x:c r="C69" s="12" t="n">
        <x:v>1</x:v>
      </x:c>
      <x:c r="D69" s="12" t="n">
        <x:v>1</x:v>
      </x:c>
      <x:c r="E69" s="12" t="n">
        <x:f>MIN(C69:D69)</x:f>
        <x:v>1</x:v>
      </x:c>
      <x:c r="F69" s="12" t="n">
        <x:f>MAX(C69:D69)</x:f>
        <x:v>1</x:v>
      </x:c>
      <x:c r="G69" s="9" t="str">
        <x:v>missing</x:v>
      </x:c>
      <x:c r="H69" s="12" t="n">
        <x:v>1</x:v>
      </x:c>
      <x:c r="I69" s="12" t="n">
        <x:v>1</x:v>
      </x:c>
      <x:c r="J69" s="9" t="str">
        <x:f>IF(H69=I69,"value","range")</x:f>
        <x:v>value</x:v>
      </x:c>
      <x:c r="K69" s="9" t="str">
        <x:v>low</x:v>
      </x:c>
      <x:c r="L69" s="9" t="str">
        <x:v>supports_current_record</x:v>
      </x:c>
      <x:c r="M69" s="9" t="str">
        <x:v>Keep 1 for expensive and only partly recoverable fabrication loss, conditionally on the receiving inspection boundary.</x:v>
      </x:c>
      <x:c r="N69" s="9" t="str">
        <x:v>fusion-src-014</x:v>
      </x:c>
      <x:c r="O69" s="9" t="str">
        <x:v>A component-specific nonconformance/repair record and independent acceptance plan.</x:v>
      </x:c>
      <x:c r="P69" s="9" t="str">
        <x:v>false</x:v>
      </x:c>
      <x:c r="Q69" s="9" t="str">
        <x:v>false</x:v>
      </x:c>
      <x:c r="R69" s="9" t="str">
        <x:v>Component fabrication</x:v>
      </x:c>
      <x:c r="S69" s="9" t="str">
        <x:v>exact_stage</x:v>
      </x:c>
      <x:c r="T69" s="9" t="str">
        <x:v>proof of concept</x:v>
      </x:c>
      <x:c r="U69" s="9" t="str">
        <x:v>Fabrication errors can scrap a scarce part or require difficult rework before independent receiving inspection. Latent defects are bounded at acceptance rather than charged through all future plant operation.</x:v>
      </x:c>
      <x:c r="V69" s="9" t="str">
        <x:v>Manufacturing descriptions do not establish defect probabilities or verified independence of inspection.</x:v>
      </x:c>
      <x:c r="W69" s="9" t="str">
        <x:v>Scrap, rework and concealed fabrication defects up to independent receiving inspection.</x:v>
      </x:c>
      <x:c r="X69" s="9" t="str">
        <x:v>Independent receiving inspection and release to site assembly.</x:v>
      </x:c>
      <x:c r="Y69" s="9" t="str">
        <x:v>Plant operating harm after separate receiving, assembly, commissioning or operational protection failures.</x:v>
      </x:c>
      <x:c r="Z69" s="9" t="str">
        <x:v>assumed_not_verified</x:v>
      </x:c>
      <x:c r="AA69" s="9" t="str">
        <x:v>dr-sp-0026-s5-v1</x:v>
      </x:c>
    </x:row>
    <x:row r="70" ht="44" customHeight="1">
      <x:c r="A70" s="3" t="str">
        <x:v>sp-0027</x:v>
      </x:c>
      <x:c r="B70" s="3" t="str">
        <x:v>S1</x:v>
      </x:c>
      <x:c r="C70" s="13" t="n">
        <x:v>0</x:v>
      </x:c>
      <x:c r="D70" s="13" t="n">
        <x:v>0</x:v>
      </x:c>
      <x:c r="E70" s="13" t="n">
        <x:f>MIN(C70:D70)</x:f>
        <x:v>0</x:v>
      </x:c>
      <x:c r="F70" s="13" t="n">
        <x:f>MAX(C70:D70)</x:f>
        <x:v>0</x:v>
      </x:c>
      <x:c r="G70" s="3" t="str">
        <x:v>missing</x:v>
      </x:c>
      <x:c r="H70" s="13" t="n">
        <x:v>0</x:v>
      </x:c>
      <x:c r="I70" s="13" t="n">
        <x:v>0</x:v>
      </x:c>
      <x:c r="J70" s="3" t="str">
        <x:f>IF(H70=I70,"value","range")</x:f>
        <x:v>value</x:v>
      </x:c>
      <x:c r="K70" s="3" t="str">
        <x:v>high</x:v>
      </x:c>
      <x:c r="L70" s="3" t="str">
        <x:v>supports_current_record</x:v>
      </x:c>
      <x:c r="M70" s="3" t="str">
        <x:v>Both 0s match the frozen construction scope.</x:v>
      </x:c>
      <x:c r="N70" s="3" t="str">
        <x:v>fusion-src-037;fusion-src-036</x:v>
      </x:c>
      <x:c r="O70" s="3" t="str">
        <x:v>Revisit only if construction scope or technical execution changes materially.</x:v>
      </x:c>
      <x:c r="P70" s="3" t="str">
        <x:v>false</x:v>
      </x:c>
      <x:c r="Q70" s="3" t="str">
        <x:v>false</x:v>
      </x:c>
      <x:c r="R70" s="3" t="str">
        <x:v>Construction</x:v>
      </x:c>
      <x:c r="S70" s="3" t="str">
        <x:v>exact_stage;target_programme_status</x:v>
      </x:c>
      <x:c r="T70" s="3" t="str">
        <x:v>observed facility milestone; official target</x:v>
      </x:c>
      <x:c r="U70" s="3" t="str">
        <x:v>Site work, assembly and installation are primarily physical progress. Digital metrology and planning assist construction without changing the nature of the scoped output.</x:v>
      </x:c>
      <x:c r="V70" s="3" t="str">
        <x:v>ITER's sector-module placement is exact construction evidence; the proposed full baseline is not a completed plant.</x:v>
      </x:c>
      <x:c r="W70" s="3" t="str">
        <x:v>not_applicable</x:v>
      </x:c>
      <x:c r="X70" s="3" t="str">
        <x:v>not_applicable</x:v>
      </x:c>
      <x:c r="Y70" s="3" t="str">
        <x:v>not_applicable</x:v>
      </x:c>
      <x:c r="Z70" s="3" t="str">
        <x:v>not_applicable</x:v>
      </x:c>
      <x:c r="AA70" s="3" t="str">
        <x:v>dr-sp-0027-s1-v1</x:v>
      </x:c>
    </x:row>
    <x:row r="71" ht="60" customHeight="1">
      <x:c r="A71" s="9" t="str">
        <x:v>sp-0027</x:v>
      </x:c>
      <x:c r="B71" s="9" t="str">
        <x:v>S2</x:v>
      </x:c>
      <x:c r="C71" s="12" t="n">
        <x:v>0</x:v>
      </x:c>
      <x:c r="D71" s="12" t="n">
        <x:v>0</x:v>
      </x:c>
      <x:c r="E71" s="12" t="n">
        <x:f>MIN(C71:D71)</x:f>
        <x:v>0</x:v>
      </x:c>
      <x:c r="F71" s="12" t="n">
        <x:f>MAX(C71:D71)</x:f>
        <x:v>0</x:v>
      </x:c>
      <x:c r="G71" s="9" t="str">
        <x:v>missing</x:v>
      </x:c>
      <x:c r="H71" s="12" t="n">
        <x:v>0</x:v>
      </x:c>
      <x:c r="I71" s="12" t="n">
        <x:v>2</x:v>
      </x:c>
      <x:c r="J71" s="9" t="str">
        <x:f>IF(H71=I71,"value","range")</x:f>
        <x:v>range</x:v>
      </x:c>
      <x:c r="K71" s="9" t="str">
        <x:v>low</x:v>
      </x:c>
      <x:c r="L71" s="9" t="str">
        <x:v>recommends_range</x:v>
      </x:c>
      <x:c r="M71" s="9" t="str">
        <x:v>The shared 0 overstates certainty about cadence; keep 0-2 pending a defined decision-relevant construction loop.</x:v>
      </x:c>
      <x:c r="N71" s="9" t="str">
        <x:v>fusion-src-037;fusion-src-036</x:v>
      </x:c>
      <x:c r="O71" s="9" t="str">
        <x:v>A dated assembly/rework sequence distinguishing work-package feedback from total facility completion.</x:v>
      </x:c>
      <x:c r="P71" s="9" t="str">
        <x:v>false</x:v>
      </x:c>
      <x:c r="Q71" s="9" t="str">
        <x:v>false</x:v>
      </x:c>
      <x:c r="R71" s="9" t="str">
        <x:v>Construction</x:v>
      </x:c>
      <x:c r="S71" s="9" t="str">
        <x:v>exact_stage;target_programme_status</x:v>
      </x:c>
      <x:c r="T71" s="9" t="str">
        <x:v>observed facility milestone; official target</x:v>
      </x:c>
      <x:c r="U71" s="9" t="str">
        <x:v>A whole facility may take years, while fitting, inspecting and revising an assembly work package can close a shorter ordinary loop. Neither a full baseline schedule nor one successful lift identifies the representative learning unit.</x:v>
      </x:c>
      <x:c r="V71" s="9" t="str">
        <x:v>ITER milestones establish staged construction, not a measured distribution of correction-cycle durations. HH70 build time is not a pilot-plant floor.</x:v>
      </x:c>
      <x:c r="W71" s="9" t="str">
        <x:v>not_applicable</x:v>
      </x:c>
      <x:c r="X71" s="9" t="str">
        <x:v>not_applicable</x:v>
      </x:c>
      <x:c r="Y71" s="9" t="str">
        <x:v>not_applicable</x:v>
      </x:c>
      <x:c r="Z71" s="9" t="str">
        <x:v>not_applicable</x:v>
      </x:c>
      <x:c r="AA71" s="9" t="str">
        <x:v>dr-sp-0027-s2-v1</x:v>
      </x:c>
    </x:row>
    <x:row r="72" ht="60" customHeight="1">
      <x:c r="A72" s="3" t="str">
        <x:v>sp-0027</x:v>
      </x:c>
      <x:c r="B72" s="3" t="str">
        <x:v>S3</x:v>
      </x:c>
      <x:c r="C72" s="13" t="n">
        <x:v>0</x:v>
      </x:c>
      <x:c r="D72" s="13" t="n">
        <x:v>0</x:v>
      </x:c>
      <x:c r="E72" s="13" t="n">
        <x:f>MIN(C72:D72)</x:f>
        <x:v>0</x:v>
      </x:c>
      <x:c r="F72" s="13" t="n">
        <x:f>MAX(C72:D72)</x:f>
        <x:v>0</x:v>
      </x:c>
      <x:c r="G72" s="3" t="str">
        <x:v>missing</x:v>
      </x:c>
      <x:c r="H72" s="13" t="n">
        <x:v>0</x:v>
      </x:c>
      <x:c r="I72" s="13" t="n">
        <x:v>0</x:v>
      </x:c>
      <x:c r="J72" s="3" t="str">
        <x:f>IF(H72=I72,"value","range")</x:f>
        <x:v>value</x:v>
      </x:c>
      <x:c r="K72" s="3" t="str">
        <x:v>medium</x:v>
      </x:c>
      <x:c r="L72" s="3" t="str">
        <x:v>supports_current_record</x:v>
      </x:c>
      <x:c r="M72" s="3" t="str">
        <x:v>Retain 0 for scarce major integrated attempts with a corrected, nonzero account of local throughput.</x:v>
      </x:c>
      <x:c r="N72" s="3" t="str">
        <x:v>fusion-src-037</x:v>
      </x:c>
      <x:c r="O72" s="3" t="str">
        <x:v>A construction attempt taxonomy and cost/concurrency record that changes the relevant unit of learning.</x:v>
      </x:c>
      <x:c r="P72" s="3" t="str">
        <x:v>false</x:v>
      </x:c>
      <x:c r="Q72" s="3" t="str">
        <x:v>false</x:v>
      </x:c>
      <x:c r="R72" s="3" t="str">
        <x:v>Construction</x:v>
      </x:c>
      <x:c r="S72" s="3" t="str">
        <x:v>exact_stage</x:v>
      </x:c>
      <x:c r="T72" s="3" t="str">
        <x:v>observed facility milestone</x:v>
      </x:c>
      <x:c r="U72" s="3" t="str">
        <x:v>Major integrated construction attempts are expensive and constrained by one site and assembly dependencies. Subassemblies, surveying and separate work packages can run in parallel; the seed claim of absent parallelism is too absolute.</x:v>
      </x:c>
      <x:c r="V72" s="3" t="str">
        <x:v>Repeated module installation illustrates partial repetition, without establishing cheap independent whole-facility attempts.</x:v>
      </x:c>
      <x:c r="W72" s="3" t="str">
        <x:v>not_applicable</x:v>
      </x:c>
      <x:c r="X72" s="3" t="str">
        <x:v>not_applicable</x:v>
      </x:c>
      <x:c r="Y72" s="3" t="str">
        <x:v>not_applicable</x:v>
      </x:c>
      <x:c r="Z72" s="3" t="str">
        <x:v>not_applicable</x:v>
      </x:c>
      <x:c r="AA72" s="3" t="str">
        <x:v>dr-sp-0027-s3-v1</x:v>
      </x:c>
    </x:row>
    <x:row r="73" ht="60" customHeight="1">
      <x:c r="A73" s="9" t="str">
        <x:v>sp-0027</x:v>
      </x:c>
      <x:c r="B73" s="9" t="str">
        <x:v>S4</x:v>
      </x:c>
      <x:c r="C73" s="12" t="n">
        <x:v>0</x:v>
      </x:c>
      <x:c r="D73" s="12" t="n">
        <x:v>0</x:v>
      </x:c>
      <x:c r="E73" s="12" t="n">
        <x:f>MIN(C73:D73)</x:f>
        <x:v>0</x:v>
      </x:c>
      <x:c r="F73" s="12" t="n">
        <x:f>MAX(C73:D73)</x:f>
        <x:v>0</x:v>
      </x:c>
      <x:c r="G73" s="9" t="str">
        <x:v>missing</x:v>
      </x:c>
      <x:c r="H73" s="12" t="n">
        <x:v>0</x:v>
      </x:c>
      <x:c r="I73" s="12" t="n">
        <x:v>0</x:v>
      </x:c>
      <x:c r="J73" s="9" t="str">
        <x:f>IF(H73=I73,"value","range")</x:f>
        <x:v>value</x:v>
      </x:c>
      <x:c r="K73" s="9" t="str">
        <x:v>high</x:v>
      </x:c>
      <x:c r="L73" s="9" t="str">
        <x:v>supports_current_record</x:v>
      </x:c>
      <x:c r="M73" s="9" t="str">
        <x:v>Support 0 without treating the official baseline as an irreducible calendar duration.</x:v>
      </x:c>
      <x:c r="N73" s="9" t="str">
        <x:v>fusion-src-037;fusion-src-036</x:v>
      </x:c>
      <x:c r="O73" s="9" t="str">
        <x:v>A validated assembly method eliminating a dominant physical sequence under equivalent acceptance requirements.</x:v>
      </x:c>
      <x:c r="P73" s="9" t="str">
        <x:v>false</x:v>
      </x:c>
      <x:c r="Q73" s="9" t="str">
        <x:v>false</x:v>
      </x:c>
      <x:c r="R73" s="9" t="str">
        <x:v>Construction</x:v>
      </x:c>
      <x:c r="S73" s="9" t="str">
        <x:v>exact_stage;target_programme_status</x:v>
      </x:c>
      <x:c r="T73" s="9" t="str">
        <x:v>observed facility milestone; official target</x:v>
      </x:c>
      <x:c r="U73" s="9" t="str">
        <x:v>Lifting, fit-up, sequential installation and verification are physical construction steps. Their required execution, not generic permitting or procurement queues, supports the time-floor judgment.</x:v>
      </x:c>
      <x:c r="V73" s="9" t="str">
        <x:v>The installed-sector milestone supports actual assembly; proposed future dates do not quantify a fixed universal physical minimum.</x:v>
      </x:c>
      <x:c r="W73" s="9" t="str">
        <x:v>not_applicable</x:v>
      </x:c>
      <x:c r="X73" s="9" t="str">
        <x:v>not_applicable</x:v>
      </x:c>
      <x:c r="Y73" s="9" t="str">
        <x:v>not_applicable</x:v>
      </x:c>
      <x:c r="Z73" s="9" t="str">
        <x:v>not_applicable</x:v>
      </x:c>
      <x:c r="AA73" s="9" t="str">
        <x:v>dr-sp-0027-s4-v1</x:v>
      </x:c>
    </x:row>
    <x:row r="74" ht="60" customHeight="1">
      <x:c r="A74" s="3" t="str">
        <x:v>sp-0027</x:v>
      </x:c>
      <x:c r="B74" s="3" t="str">
        <x:v>S5</x:v>
      </x:c>
      <x:c r="C74" s="13" t="n">
        <x:v>1</x:v>
      </x:c>
      <x:c r="D74" s="13" t="n">
        <x:v>1</x:v>
      </x:c>
      <x:c r="E74" s="13" t="n">
        <x:f>MIN(C74:D74)</x:f>
        <x:v>1</x:v>
      </x:c>
      <x:c r="F74" s="13" t="n">
        <x:f>MAX(C74:D74)</x:f>
        <x:v>1</x:v>
      </x:c>
      <x:c r="G74" s="3" t="str">
        <x:v>missing</x:v>
      </x:c>
      <x:c r="H74" s="13" t="n">
        <x:v>1</x:v>
      </x:c>
      <x:c r="I74" s="13" t="n">
        <x:v>1</x:v>
      </x:c>
      <x:c r="J74" s="3" t="str">
        <x:f>IF(H74=I74,"value","range")</x:f>
        <x:v>value</x:v>
      </x:c>
      <x:c r="K74" s="3" t="str">
        <x:v>medium</x:v>
      </x:c>
      <x:c r="L74" s="3" t="str">
        <x:v>supports_current_record</x:v>
      </x:c>
      <x:c r="M74" s="3" t="str">
        <x:v>Low intermediate tolerance is defensible, bounded at the independent construction controls.</x:v>
      </x:c>
      <x:c r="N74" s="3" t="str">
        <x:v>fusion-src-037</x:v>
      </x:c>
      <x:c r="O74" s="3" t="str">
        <x:v>A stage-specific construction hazard analysis identifying independent lift/assembly acceptance controls.</x:v>
      </x:c>
      <x:c r="P74" s="3" t="str">
        <x:v>false</x:v>
      </x:c>
      <x:c r="Q74" s="3" t="str">
        <x:v>false</x:v>
      </x:c>
      <x:c r="R74" s="3" t="str">
        <x:v>Construction</x:v>
      </x:c>
      <x:c r="S74" s="3" t="str">
        <x:v>exact_stage</x:v>
      </x:c>
      <x:c r="T74" s="3" t="str">
        <x:v>observed facility milestone</x:v>
      </x:c>
      <x:c r="U74" s="3" t="str">
        <x:v>An erroneous lift, fit-up or installation can directly damage the article or injure workers before independent lift protection/inspection. Other nonconformances are repairable; not every construction mistake is catastrophic.</x:v>
      </x:c>
      <x:c r="V74" s="3" t="str">
        <x:v>The successful ITER lift is not an error-rate or safety study. It illustrates the operation receiving the qualitatively assessed error.</x:v>
      </x:c>
      <x:c r="W74" s="3" t="str">
        <x:v>Immediate worker/equipment exposure and difficult rework before protection or inspection.</x:v>
      </x:c>
      <x:c r="X74" s="3" t="str">
        <x:v>Independent lift/installation protection and hold-point inspection before the next assembly release.</x:v>
      </x:c>
      <x:c r="Y74" s="3" t="str">
        <x:v>Accidents in later operation requiring independent commissioning and operational assurance failures.</x:v>
      </x:c>
      <x:c r="Z74" s="3" t="str">
        <x:v>assumed_not_verified</x:v>
      </x:c>
      <x:c r="AA74" s="3" t="str">
        <x:v>dr-sp-0027-s5-v1</x:v>
      </x:c>
    </x:row>
    <x:row r="75" ht="60" customHeight="1">
      <x:c r="A75" s="9" t="str">
        <x:v>sp-0028</x:v>
      </x:c>
      <x:c r="B75" s="9" t="str">
        <x:v>S1</x:v>
      </x:c>
      <x:c r="C75" s="12" t="n">
        <x:v>1</x:v>
      </x:c>
      <x:c r="D75" s="12" t="n">
        <x:v>1</x:v>
      </x:c>
      <x:c r="E75" s="12" t="n">
        <x:f>MIN(C75:D75)</x:f>
        <x:v>1</x:v>
      </x:c>
      <x:c r="F75" s="12" t="n">
        <x:f>MAX(C75:D75)</x:f>
        <x:v>1</x:v>
      </x:c>
      <x:c r="G75" s="9" t="str">
        <x:v>missing</x:v>
      </x:c>
      <x:c r="H75" s="12" t="n">
        <x:v>1</x:v>
      </x:c>
      <x:c r="I75" s="12" t="n">
        <x:v>1</x:v>
      </x:c>
      <x:c r="J75" s="9" t="str">
        <x:f>IF(H75=I75,"value","range")</x:f>
        <x:v>value</x:v>
      </x:c>
      <x:c r="K75" s="9" t="str">
        <x:v>medium</x:v>
      </x:c>
      <x:c r="L75" s="9" t="str">
        <x:v>supports_current_record</x:v>
      </x:c>
      <x:c r="M75" s="9" t="str">
        <x:v>Support the shared 1 without equating research readiness to pilot nuclear readiness.</x:v>
      </x:c>
      <x:c r="N75" s="9" t="str">
        <x:v>fusion-src-033;fusion-src-034;fusion-src-036</x:v>
      </x:c>
      <x:c r="O75" s="9" t="str">
        <x:v>A pilot commissioning scope including the nuclear/tritium interface checks actually required.</x:v>
      </x:c>
      <x:c r="P75" s="9" t="str">
        <x:v>false</x:v>
      </x:c>
      <x:c r="Q75" s="9" t="str">
        <x:v>false</x:v>
      </x:c>
      <x:c r="R75" s="9" t="str">
        <x:v>Commissioning</x:v>
      </x:c>
      <x:c r="S75" s="9" t="str">
        <x:v>exact_stage;target_programme_status</x:v>
      </x:c>
      <x:c r="T75" s="9" t="str">
        <x:v>observed facility milestone; official target</x:v>
      </x:c>
      <x:c r="U75" s="9" t="str">
        <x:v>Integrated readiness advances through physical startup and system checks, with substantial diagnostic reasoning. The analytical contribution justifies an intermediate 1; it does not make readiness principally informational.</x:v>
      </x:c>
      <x:c r="V75" s="9" t="str">
        <x:v>JT-60SA first plasma/component commissioning illustrates research startup, while ITER identifies further phases only as a proposed baseline.</x:v>
      </x:c>
      <x:c r="W75" s="9" t="str">
        <x:v>not_applicable</x:v>
      </x:c>
      <x:c r="X75" s="9" t="str">
        <x:v>not_applicable</x:v>
      </x:c>
      <x:c r="Y75" s="9" t="str">
        <x:v>not_applicable</x:v>
      </x:c>
      <x:c r="Z75" s="9" t="str">
        <x:v>not_applicable</x:v>
      </x:c>
      <x:c r="AA75" s="9" t="str">
        <x:v>dr-sp-0028-s1-v1</x:v>
      </x:c>
    </x:row>
    <x:row r="76" ht="44" customHeight="1">
      <x:c r="A76" s="3" t="str">
        <x:v>sp-0028</x:v>
      </x:c>
      <x:c r="B76" s="3" t="str">
        <x:v>S2</x:v>
      </x:c>
      <x:c r="C76" s="13" t="n">
        <x:v>1</x:v>
      </x:c>
      <x:c r="D76" s="13" t="n">
        <x:v>1</x:v>
      </x:c>
      <x:c r="E76" s="13" t="n">
        <x:f>MIN(C76:D76)</x:f>
        <x:v>1</x:v>
      </x:c>
      <x:c r="F76" s="13" t="n">
        <x:f>MAX(C76:D76)</x:f>
        <x:v>1</x:v>
      </x:c>
      <x:c r="G76" s="3" t="str">
        <x:v>missing</x:v>
      </x:c>
      <x:c r="H76" s="13" t="n">
        <x:v>1</x:v>
      </x:c>
      <x:c r="I76" s="13" t="n">
        <x:v>2</x:v>
      </x:c>
      <x:c r="J76" s="3" t="str">
        <x:f>IF(H76=I76,"value","range")</x:f>
        <x:v>range</x:v>
      </x:c>
      <x:c r="K76" s="3" t="str">
        <x:v>low</x:v>
      </x:c>
      <x:c r="L76" s="3" t="str">
        <x:v>recommends_range</x:v>
      </x:c>
      <x:c r="M76" s="3" t="str">
        <x:v>Recommend 1-2: the seed itself describes weeks-to-months checks while selecting 1, so precision is unwarranted.</x:v>
      </x:c>
      <x:c r="N76" s="3" t="str">
        <x:v>fusion-src-033;fusion-src-034;fusion-src-036</x:v>
      </x:c>
      <x:c r="O76" s="3" t="str">
        <x:v>Commissioning issue/retest logs separating short checks, access/repair loops and nuclear/tritium readiness phases.</x:v>
      </x:c>
      <x:c r="P76" s="3" t="str">
        <x:v>false</x:v>
      </x:c>
      <x:c r="Q76" s="3" t="str">
        <x:v>false</x:v>
      </x:c>
      <x:c r="R76" s="3" t="str">
        <x:v>Commissioning</x:v>
      </x:c>
      <x:c r="S76" s="3" t="str">
        <x:v>exact_stage;target_programme_status</x:v>
      </x:c>
      <x:c r="T76" s="3" t="str">
        <x:v>observed facility milestone; official target</x:v>
      </x:c>
      <x:c r="U76" s="3" t="str">
        <x:v>The ordinary loop is test, diagnose, physically correct and retest an interface or system. Whole-programme phase dates and first plasma are not the duration of each loop.</x:v>
      </x:c>
      <x:c r="V76" s="3" t="str">
        <x:v>Research commissioning is exact for some activities but adjacent to nuclear/tritium readiness; no AI-shortened comparable loop is observed.</x:v>
      </x:c>
      <x:c r="W76" s="3" t="str">
        <x:v>not_applicable</x:v>
      </x:c>
      <x:c r="X76" s="3" t="str">
        <x:v>not_applicable</x:v>
      </x:c>
      <x:c r="Y76" s="3" t="str">
        <x:v>not_applicable</x:v>
      </x:c>
      <x:c r="Z76" s="3" t="str">
        <x:v>not_applicable</x:v>
      </x:c>
      <x:c r="AA76" s="3" t="str">
        <x:v>dr-sp-0028-s2-v1</x:v>
      </x:c>
    </x:row>
    <x:row r="77" ht="60" customHeight="1">
      <x:c r="A77" s="9" t="str">
        <x:v>sp-0028</x:v>
      </x:c>
      <x:c r="B77" s="9" t="str">
        <x:v>S3</x:v>
      </x:c>
      <x:c r="C77" s="12" t="n">
        <x:v>1</x:v>
      </x:c>
      <x:c r="D77" s="12" t="n">
        <x:v>0</x:v>
      </x:c>
      <x:c r="E77" s="12" t="n">
        <x:f>MIN(C77:D77)</x:f>
        <x:v>0</x:v>
      </x:c>
      <x:c r="F77" s="12" t="n">
        <x:f>MAX(C77:D77)</x:f>
        <x:v>1</x:v>
      </x:c>
      <x:c r="G77" s="9" t="str">
        <x:v>prefer_independent</x:v>
      </x:c>
      <x:c r="H77" s="12" t="n">
        <x:v>0</x:v>
      </x:c>
      <x:c r="I77" s="12" t="n">
        <x:v>0</x:v>
      </x:c>
      <x:c r="J77" s="9" t="str">
        <x:f>IF(H77=I77,"value","range")</x:f>
        <x:v>value</x:v>
      </x:c>
      <x:c r="K77" s="9" t="str">
        <x:v>medium</x:v>
      </x:c>
      <x:c r="L77" s="9" t="str">
        <x:v>supports_current_record</x:v>
      </x:c>
      <x:c r="M77" s="9" t="str">
        <x:v>Support the owner preference for independent 0 at the integrated-attempt unit.</x:v>
      </x:c>
      <x:c r="N77" s="9" t="str">
        <x:v>fusion-src-033;fusion-src-034;fusion-src-036</x:v>
      </x:c>
      <x:c r="O77" s="9" t="str">
        <x:v>Cost and concurrent-test evidence showing that equivalent integrated readiness can be proven on independent parallel rigs.</x:v>
      </x:c>
      <x:c r="P77" s="9" t="str">
        <x:v>false</x:v>
      </x:c>
      <x:c r="Q77" s="9" t="str">
        <x:v>false</x:v>
      </x:c>
      <x:c r="R77" s="9" t="str">
        <x:v>Commissioning</x:v>
      </x:c>
      <x:c r="S77" s="9" t="str">
        <x:v>exact_stage;target_programme_status</x:v>
      </x:c>
      <x:c r="T77" s="9" t="str">
        <x:v>observed facility milestone; official target</x:v>
      </x:c>
      <x:c r="U77" s="9" t="str">
        <x:v>Subsystem checks may be modest-cost and partly parallel. Integrated readiness attempts use installed hardware, specialist teams and one compatible facility state, making decisive attempts expensive and strongly constrained.</x:v>
      </x:c>
      <x:c r="V77" s="9" t="str">
        <x:v>Staged startup supports the integrated dependency, but it does not furnish a complete pilot commissioning cost ledger.</x:v>
      </x:c>
      <x:c r="W77" s="9" t="str">
        <x:v>not_applicable</x:v>
      </x:c>
      <x:c r="X77" s="9" t="str">
        <x:v>not_applicable</x:v>
      </x:c>
      <x:c r="Y77" s="9" t="str">
        <x:v>not_applicable</x:v>
      </x:c>
      <x:c r="Z77" s="9" t="str">
        <x:v>not_applicable</x:v>
      </x:c>
      <x:c r="AA77" s="9" t="str">
        <x:v>dr-sp-0028-s3-v1</x:v>
      </x:c>
    </x:row>
    <x:row r="78" ht="60" customHeight="1">
      <x:c r="A78" s="3" t="str">
        <x:v>sp-0028</x:v>
      </x:c>
      <x:c r="B78" s="3" t="str">
        <x:v>S4</x:v>
      </x:c>
      <x:c r="C78" s="13" t="n">
        <x:v>0</x:v>
      </x:c>
      <x:c r="D78" s="13" t="n">
        <x:v>0</x:v>
      </x:c>
      <x:c r="E78" s="13" t="n">
        <x:f>MIN(C78:D78)</x:f>
        <x:v>0</x:v>
      </x:c>
      <x:c r="F78" s="13" t="n">
        <x:f>MAX(C78:D78)</x:f>
        <x:v>0</x:v>
      </x:c>
      <x:c r="G78" s="3" t="str">
        <x:v>missing</x:v>
      </x:c>
      <x:c r="H78" s="13" t="n">
        <x:v>0</x:v>
      </x:c>
      <x:c r="I78" s="13" t="n">
        <x:v>0</x:v>
      </x:c>
      <x:c r="J78" s="3" t="str">
        <x:f>IF(H78=I78,"value","range")</x:f>
        <x:v>value</x:v>
      </x:c>
      <x:c r="K78" s="3" t="str">
        <x:v>medium</x:v>
      </x:c>
      <x:c r="L78" s="3" t="str">
        <x:v>supports_current_record</x:v>
      </x:c>
      <x:c r="M78" s="3" t="str">
        <x:v>Retain 0 as a physical readiness floor without asserting fixed multi-week durations for every test.</x:v>
      </x:c>
      <x:c r="N78" s="3" t="str">
        <x:v>fusion-src-034;fusion-src-036</x:v>
      </x:c>
      <x:c r="O78" s="3" t="str">
        <x:v>A completed pilot readiness sequence with measured physical steps and institutional waits separated.</x:v>
      </x:c>
      <x:c r="P78" s="3" t="str">
        <x:v>false</x:v>
      </x:c>
      <x:c r="Q78" s="3" t="str">
        <x:v>false</x:v>
      </x:c>
      <x:c r="R78" s="3" t="str">
        <x:v>Commissioning</x:v>
      </x:c>
      <x:c r="S78" s="3" t="str">
        <x:v>exact_stage;target_programme_status</x:v>
      </x:c>
      <x:c r="T78" s="3" t="str">
        <x:v>official target</x:v>
      </x:c>
      <x:c r="U78" s="3" t="str">
        <x:v>Physical conditioning, vacuum/cryogenic states, repairs and restart sequences are inside commissioning. Administrative hold points and generic restricted-access waiting are excluded from S4.</x:v>
      </x:c>
      <x:c r="V78" s="3" t="str">
        <x:v>JT-60SA documents staged component work; ITER's later nuclear/tritium phases are planned, not measured durations.</x:v>
      </x:c>
      <x:c r="W78" s="3" t="str">
        <x:v>not_applicable</x:v>
      </x:c>
      <x:c r="X78" s="3" t="str">
        <x:v>not_applicable</x:v>
      </x:c>
      <x:c r="Y78" s="3" t="str">
        <x:v>not_applicable</x:v>
      </x:c>
      <x:c r="Z78" s="3" t="str">
        <x:v>not_applicable</x:v>
      </x:c>
      <x:c r="AA78" s="3" t="str">
        <x:v>dr-sp-0028-s4-v1</x:v>
      </x:c>
    </x:row>
    <x:row r="79" ht="60" customHeight="1">
      <x:c r="A79" s="9" t="str">
        <x:v>sp-0028</x:v>
      </x:c>
      <x:c r="B79" s="9" t="str">
        <x:v>S5</x:v>
      </x:c>
      <x:c r="C79" s="12" t="n">
        <x:v>1</x:v>
      </x:c>
      <x:c r="D79" s="12" t="n">
        <x:v>0</x:v>
      </x:c>
      <x:c r="E79" s="12" t="n">
        <x:f>MIN(C79:D79)</x:f>
        <x:v>0</x:v>
      </x:c>
      <x:c r="F79" s="12" t="n">
        <x:f>MAX(C79:D79)</x:f>
        <x:v>1</x:v>
      </x:c>
      <x:c r="G79" s="9" t="str">
        <x:v>prefer_seed</x:v>
      </x:c>
      <x:c r="H79" s="12" t="n">
        <x:v>1</x:v>
      </x:c>
      <x:c r="I79" s="12" t="n">
        <x:v>1</x:v>
      </x:c>
      <x:c r="J79" s="9" t="str">
        <x:f>IF(H79=I79,"value","range")</x:f>
        <x:v>value</x:v>
      </x:c>
      <x:c r="K79" s="9" t="str">
        <x:v>low</x:v>
      </x:c>
      <x:c r="L79" s="9" t="str">
        <x:v>requires_human_expert</x:v>
      </x:c>
      <x:c r="M79" s="9" t="str">
        <x:v>Support owner 1 provisionally; obtain named expertise before canonical/public approval of this boundary.</x:v>
      </x:c>
      <x:c r="N79" s="9" t="str">
        <x:v>fusion-src-033;fusion-src-034;fusion-src-036</x:v>
      </x:c>
      <x:c r="O79" s="9" t="str">
        <x:v>A pilot commissioning safety case with independently verified interlocks and release hold points.</x:v>
      </x:c>
      <x:c r="P79" s="9" t="str">
        <x:v>true</x:v>
      </x:c>
      <x:c r="Q79" s="9" t="str">
        <x:v>true</x:v>
      </x:c>
      <x:c r="R79" s="9" t="str">
        <x:v>Commissioning</x:v>
      </x:c>
      <x:c r="S79" s="9" t="str">
        <x:v>exact_stage;target_programme_status</x:v>
      </x:c>
      <x:c r="T79" s="9" t="str">
        <x:v>observed facility milestone; official target</x:v>
      </x:c>
      <x:c r="U79" s="9" t="str">
        <x:v>Erroneous startup sequencing or interface checks can damage installed hardware before independent interlocks or readiness hold points act. Correctly discovering a fault is the purpose of commissioning and is not itself an error.</x:v>
      </x:c>
      <x:c r="V79" s="9" t="str">
        <x:v>Research first plasma does not validate nuclear/tritium interlock independence or the pilot consequence envelope.</x:v>
      </x:c>
      <x:c r="W79" s="9" t="str">
        <x:v>Installed-equipment damage or local safety exposure before the independent startup controls act.</x:v>
      </x:c>
      <x:c r="X79" s="9" t="str">
        <x:v>Independent startup interlocks and readiness-release hold points before the next energization/inventory step.</x:v>
      </x:c>
      <x:c r="Y79" s="9" t="str">
        <x:v>Subsequent reliability or operating accidents requiring separate independent readiness/operating failures.</x:v>
      </x:c>
      <x:c r="Z79" s="9" t="str">
        <x:v>assumed_not_verified</x:v>
      </x:c>
      <x:c r="AA79" s="9" t="str">
        <x:v>dr-sp-0028-s5-v1</x:v>
      </x:c>
    </x:row>
    <x:row r="80" ht="60" customHeight="1">
      <x:c r="A80" s="3" t="str">
        <x:v>sp-0029</x:v>
      </x:c>
      <x:c r="B80" s="3" t="str">
        <x:v>S1</x:v>
      </x:c>
      <x:c r="C80" s="13" t="n">
        <x:v>0</x:v>
      </x:c>
      <x:c r="D80" s="13" t="n">
        <x:v>0</x:v>
      </x:c>
      <x:c r="E80" s="13" t="n">
        <x:f>MIN(C80:D80)</x:f>
        <x:v>0</x:v>
      </x:c>
      <x:c r="F80" s="13" t="n">
        <x:f>MAX(C80:D80)</x:f>
        <x:v>0</x:v>
      </x:c>
      <x:c r="G80" s="3" t="str">
        <x:v>missing</x:v>
      </x:c>
      <x:c r="H80" s="13" t="n">
        <x:v>0</x:v>
      </x:c>
      <x:c r="I80" s="13" t="n">
        <x:v>0</x:v>
      </x:c>
      <x:c r="J80" s="3" t="str">
        <x:f>IF(H80=I80,"value","range")</x:f>
        <x:v>value</x:v>
      </x:c>
      <x:c r="K80" s="3" t="str">
        <x:v>high</x:v>
      </x:c>
      <x:c r="L80" s="3" t="str">
        <x:v>supports_current_record</x:v>
      </x:c>
      <x:c r="M80" s="3" t="str">
        <x:v>Accumulated operating evidence is primarily physical even when measured reliability is still missing.</x:v>
      </x:c>
      <x:c r="N80" s="3" t="str">
        <x:v>missing</x:v>
      </x:c>
      <x:c r="O80" s="3" t="str">
        <x:v>Revisit if an accepted demonstration protocol changes the required operating evidence.</x:v>
      </x:c>
      <x:c r="P80" s="3" t="str">
        <x:v>false</x:v>
      </x:c>
      <x:c r="Q80" s="3" t="str">
        <x:v>false</x:v>
      </x:c>
      <x:c r="R80" s="3" t="str">
        <x:v>Reliability demonstration</x:v>
      </x:c>
      <x:c r="S80" s="3" t="str">
        <x:v>absent</x:v>
      </x:c>
      <x:c r="T80" s="3" t="str">
        <x:v>No directly relevant canonical source located</x:v>
      </x:c>
      <x:c r="U80" s="3" t="str">
        <x:v>Reliability demonstration advances by sustained/repeated integrated operation. Analysis interprets the evidence but does not substitute for the operating exposure required by the frozen stage.</x:v>
      </x:c>
      <x:c r="V80" s="3" t="str">
        <x:v>No comparable commercial availability case is present; the 0 follows the stage definition, not an inferred achieved outcome.</x:v>
      </x:c>
      <x:c r="W80" s="3" t="str">
        <x:v>not_applicable</x:v>
      </x:c>
      <x:c r="X80" s="3" t="str">
        <x:v>not_applicable</x:v>
      </x:c>
      <x:c r="Y80" s="3" t="str">
        <x:v>not_applicable</x:v>
      </x:c>
      <x:c r="Z80" s="3" t="str">
        <x:v>not_applicable</x:v>
      </x:c>
      <x:c r="AA80" s="3" t="str">
        <x:v>dr-sp-0029-s1-v1</x:v>
      </x:c>
    </x:row>
    <x:row r="81" ht="60" customHeight="1">
      <x:c r="A81" s="9" t="str">
        <x:v>sp-0029</x:v>
      </x:c>
      <x:c r="B81" s="9" t="str">
        <x:v>S2</x:v>
      </x:c>
      <x:c r="C81" s="12" t="n">
        <x:v>0</x:v>
      </x:c>
      <x:c r="D81" s="12" t="n">
        <x:v>0</x:v>
      </x:c>
      <x:c r="E81" s="12" t="n">
        <x:f>MIN(C81:D81)</x:f>
        <x:v>0</x:v>
      </x:c>
      <x:c r="F81" s="12" t="n">
        <x:f>MAX(C81:D81)</x:f>
        <x:v>0</x:v>
      </x:c>
      <x:c r="G81" s="9" t="str">
        <x:v>missing</x:v>
      </x:c>
      <x:c r="H81" s="12" t="n">
        <x:v>0</x:v>
      </x:c>
      <x:c r="I81" s="12" t="n">
        <x:v>1</x:v>
      </x:c>
      <x:c r="J81" s="9" t="str">
        <x:f>IF(H81=I81,"value","range")</x:f>
        <x:v>range</x:v>
      </x:c>
      <x:c r="K81" s="9" t="str">
        <x:v>low</x:v>
      </x:c>
      <x:c r="L81" s="9" t="str">
        <x:v>requires_human_expert</x:v>
      </x:c>
      <x:c r="M81" s="9" t="str">
        <x:v>Keep a slow 0-1 candidate interval but do not assume the shared 0 proves a years-long statistical target.</x:v>
      </x:c>
      <x:c r="N81" s="9" t="str">
        <x:v>fusion-src-011;fusion-src-032</x:v>
      </x:c>
      <x:c r="O81" s="9" t="str">
        <x:v>A named pilot reliability objective and validated exposure/failure/repair protocol, followed by observed campaign evidence.</x:v>
      </x:c>
      <x:c r="P81" s="9" t="str">
        <x:v>true</x:v>
      </x:c>
      <x:c r="Q81" s="9" t="str">
        <x:v>true</x:v>
      </x:c>
      <x:c r="R81" s="9" t="str">
        <x:v>Reliability demonstration</x:v>
      </x:c>
      <x:c r="S81" s="9" t="str">
        <x:v>adjacent_stage_analogy;pathway_contrast</x:v>
      </x:c>
      <x:c r="T81" s="9" t="str">
        <x:v>observed facility milestone; observed experimental result</x:v>
      </x:c>
      <x:c r="U81" s="9" t="str">
        <x:v>A long pulse is not a learn-demonstrate-revise cycle for integrated availability. Required exposure, observed failures, repair and retest depend on an as-yet unspecified reliability claim and confidence criterion.</x:v>
      </x:c>
      <x:c r="V81" s="9" t="str">
        <x:v>HH70 data are company-reported research operation; W7-X is a stellarator contrast with distinct discharge metrics, not tokamak availability.</x:v>
      </x:c>
      <x:c r="W81" s="9" t="str">
        <x:v>not_applicable</x:v>
      </x:c>
      <x:c r="X81" s="9" t="str">
        <x:v>not_applicable</x:v>
      </x:c>
      <x:c r="Y81" s="9" t="str">
        <x:v>not_applicable</x:v>
      </x:c>
      <x:c r="Z81" s="9" t="str">
        <x:v>not_applicable</x:v>
      </x:c>
      <x:c r="AA81" s="9" t="str">
        <x:v>dr-sp-0029-s2-v1</x:v>
      </x:c>
    </x:row>
    <x:row r="82" ht="60" customHeight="1">
      <x:c r="A82" s="3" t="str">
        <x:v>sp-0029</x:v>
      </x:c>
      <x:c r="B82" s="3" t="str">
        <x:v>S3</x:v>
      </x:c>
      <x:c r="C82" s="13" t="n">
        <x:v>0</x:v>
      </x:c>
      <x:c r="D82" s="13" t="n">
        <x:v>0</x:v>
      </x:c>
      <x:c r="E82" s="13" t="n">
        <x:f>MIN(C82:D82)</x:f>
        <x:v>0</x:v>
      </x:c>
      <x:c r="F82" s="13" t="n">
        <x:f>MAX(C82:D82)</x:f>
        <x:v>0</x:v>
      </x:c>
      <x:c r="G82" s="3" t="str">
        <x:v>missing</x:v>
      </x:c>
      <x:c r="H82" s="13" t="n">
        <x:v>0</x:v>
      </x:c>
      <x:c r="I82" s="13" t="n">
        <x:v>0</x:v>
      </x:c>
      <x:c r="J82" s="3" t="str">
        <x:f>IF(H82=I82,"value","range")</x:f>
        <x:v>value</x:v>
      </x:c>
      <x:c r="K82" s="3" t="str">
        <x:v>low</x:v>
      </x:c>
      <x:c r="L82" s="3" t="str">
        <x:v>supports_current_record</x:v>
      </x:c>
      <x:c r="M82" s="3" t="str">
        <x:v>Retain 0 qualitatively for expensive limited integrated attempts, not a literal claim of no repetitions.</x:v>
      </x:c>
      <x:c r="N82" s="3" t="str">
        <x:v>fusion-src-011;fusion-src-032</x:v>
      </x:c>
      <x:c r="O82" s="3" t="str">
        <x:v>A complete campaign cost, uptime/downtime and statistically independent exposure record.</x:v>
      </x:c>
      <x:c r="P82" s="3" t="str">
        <x:v>false</x:v>
      </x:c>
      <x:c r="Q82" s="3" t="str">
        <x:v>false</x:v>
      </x:c>
      <x:c r="R82" s="3" t="str">
        <x:v>Reliability demonstration</x:v>
      </x:c>
      <x:c r="S82" s="3" t="str">
        <x:v>adjacent_stage_analogy;pathway_contrast</x:v>
      </x:c>
      <x:c r="T82" s="3" t="str">
        <x:v>observed facility milestone; observed experimental result</x:v>
      </x:c>
      <x:c r="U82" s="3" t="str">
        <x:v>Integrated campaigns consume costly facility operation, components and staff. Repeated pulses and subsystem analyses can run frequently or in parallel, but they do not create independent full-system availability demonstrations.</x:v>
      </x:c>
      <x:c r="V82" s="3" t="str">
        <x:v>Pulse counts/duration omit downtime and maintenance; the sources cannot quantify independent reliability-test throughput.</x:v>
      </x:c>
      <x:c r="W82" s="3" t="str">
        <x:v>not_applicable</x:v>
      </x:c>
      <x:c r="X82" s="3" t="str">
        <x:v>not_applicable</x:v>
      </x:c>
      <x:c r="Y82" s="3" t="str">
        <x:v>not_applicable</x:v>
      </x:c>
      <x:c r="Z82" s="3" t="str">
        <x:v>not_applicable</x:v>
      </x:c>
      <x:c r="AA82" s="3" t="str">
        <x:v>dr-sp-0029-s3-v1</x:v>
      </x:c>
    </x:row>
    <x:row r="83" ht="60" customHeight="1">
      <x:c r="A83" s="9" t="str">
        <x:v>sp-0029</x:v>
      </x:c>
      <x:c r="B83" s="9" t="str">
        <x:v>S4</x:v>
      </x:c>
      <x:c r="C83" s="12" t="n">
        <x:v>0</x:v>
      </x:c>
      <x:c r="D83" s="12" t="n">
        <x:v>0</x:v>
      </x:c>
      <x:c r="E83" s="12" t="n">
        <x:f>MIN(C83:D83)</x:f>
        <x:v>0</x:v>
      </x:c>
      <x:c r="F83" s="12" t="n">
        <x:f>MAX(C83:D83)</x:f>
        <x:v>0</x:v>
      </x:c>
      <x:c r="G83" s="9" t="str">
        <x:v>missing</x:v>
      </x:c>
      <x:c r="H83" s="12" t="n">
        <x:v>0</x:v>
      </x:c>
      <x:c r="I83" s="12" t="n">
        <x:v>0</x:v>
      </x:c>
      <x:c r="J83" s="9" t="str">
        <x:f>IF(H83=I83,"value","range")</x:f>
        <x:v>value</x:v>
      </x:c>
      <x:c r="K83" s="9" t="str">
        <x:v>medium</x:v>
      </x:c>
      <x:c r="L83" s="9" t="str">
        <x:v>supports_current_record</x:v>
      </x:c>
      <x:c r="M83" s="9" t="str">
        <x:v>Keep 0 for operating-time dependence without inventing an availability threshold or exposure requirement.</x:v>
      </x:c>
      <x:c r="N83" s="9" t="str">
        <x:v>missing</x:v>
      </x:c>
      <x:c r="O83" s="9" t="str">
        <x:v>An accepted accelerated-demonstration equivalence or a specified reliability protocol changing the physical evidence required.</x:v>
      </x:c>
      <x:c r="P83" s="9" t="str">
        <x:v>false</x:v>
      </x:c>
      <x:c r="Q83" s="9" t="str">
        <x:v>false</x:v>
      </x:c>
      <x:c r="R83" s="9" t="str">
        <x:v>Reliability demonstration</x:v>
      </x:c>
      <x:c r="S83" s="9" t="str">
        <x:v>absent</x:v>
      </x:c>
      <x:c r="T83" s="9" t="str">
        <x:v>No directly relevant canonical source located</x:v>
      </x:c>
      <x:c r="U83" s="9" t="str">
        <x:v>An accepted reliability demonstration necessarily accumulates operating exposure and, where required, repair-return experience. Better inference cannot substitute for missing physical operation; the exact required duration remains unspecified.</x:v>
      </x:c>
      <x:c r="V83" s="9" t="str">
        <x:v>The structural floor follows the frozen demonstration scope. No pulse record supplies the missing integrated reliability outcome or calendar minimum.</x:v>
      </x:c>
      <x:c r="W83" s="9" t="str">
        <x:v>not_applicable</x:v>
      </x:c>
      <x:c r="X83" s="9" t="str">
        <x:v>not_applicable</x:v>
      </x:c>
      <x:c r="Y83" s="9" t="str">
        <x:v>not_applicable</x:v>
      </x:c>
      <x:c r="Z83" s="9" t="str">
        <x:v>not_applicable</x:v>
      </x:c>
      <x:c r="AA83" s="9" t="str">
        <x:v>dr-sp-0029-s4-v1</x:v>
      </x:c>
    </x:row>
    <x:row r="84" ht="60" customHeight="1">
      <x:c r="A84" s="3" t="str">
        <x:v>sp-0029</x:v>
      </x:c>
      <x:c r="B84" s="3" t="str">
        <x:v>S5</x:v>
      </x:c>
      <x:c r="C84" s="13" t="n">
        <x:v>1</x:v>
      </x:c>
      <x:c r="D84" s="13" t="n">
        <x:v>0</x:v>
      </x:c>
      <x:c r="E84" s="13" t="n">
        <x:f>MIN(C84:D84)</x:f>
        <x:v>0</x:v>
      </x:c>
      <x:c r="F84" s="13" t="n">
        <x:f>MAX(C84:D84)</x:f>
        <x:v>1</x:v>
      </x:c>
      <x:c r="G84" s="3" t="str">
        <x:v>prefer_seed</x:v>
      </x:c>
      <x:c r="H84" s="13" t="n">
        <x:v>1</x:v>
      </x:c>
      <x:c r="I84" s="13" t="n">
        <x:v>1</x:v>
      </x:c>
      <x:c r="J84" s="3" t="str">
        <x:f>IF(H84=I84,"value","range")</x:f>
        <x:v>value</x:v>
      </x:c>
      <x:c r="K84" s="3" t="str">
        <x:v>low</x:v>
      </x:c>
      <x:c r="L84" s="3" t="str">
        <x:v>requires_human_expert</x:v>
      </x:c>
      <x:c r="M84" s="3" t="str">
        <x:v>Support owner 1 provisionally with an explicit distinction between informative failure and erroneous assurance.</x:v>
      </x:c>
      <x:c r="N84" s="3" t="str">
        <x:v>missing</x:v>
      </x:c>
      <x:c r="O84" s="3" t="str">
        <x:v>A reliability test/acceptance plan with independent data validation, readiness review and machine protection.</x:v>
      </x:c>
      <x:c r="P84" s="3" t="str">
        <x:v>true</x:v>
      </x:c>
      <x:c r="Q84" s="3" t="str">
        <x:v>true</x:v>
      </x:c>
      <x:c r="R84" s="3" t="str">
        <x:v>Reliability demonstration</x:v>
      </x:c>
      <x:c r="S84" s="3" t="str">
        <x:v>absent</x:v>
      </x:c>
      <x:c r="T84" s="3" t="str">
        <x:v>No directly relevant canonical source located</x:v>
      </x:c>
      <x:c r="U84" s="3" t="str">
        <x:v>Component failure during a correctly conducted reliability test is evidence, not an error by the stage. Erroneous test conduct or unsupported readiness inference can waste irrecoverable exposure or directly damage equipment before independent protection/assurance.</x:v>
      </x:c>
      <x:c r="V84" s="3" t="str">
        <x:v>No canonical integrated reliability case defines the acceptance/protection boundary. The bounded judgment must not use ordinary test failures as proof of catastrophe.</x:v>
      </x:c>
      <x:c r="W84" s="3" t="str">
        <x:v>Invalidated operating evidence, unsafe test conduct and false readiness inputs before independent acceptance/protection.</x:v>
      </x:c>
      <x:c r="X84" s="3" t="str">
        <x:v>Independent machine protection during the test and independent reliability-evidence/readiness acceptance before operational release.</x:v>
      </x:c>
      <x:c r="Y84" s="3" t="str">
        <x:v>Ordinary informative component failures; later operating cascades needing an independent readiness or safety failure.</x:v>
      </x:c>
      <x:c r="Z84" s="3" t="str">
        <x:v>assumed_not_verified</x:v>
      </x:c>
      <x:c r="AA84" s="3" t="str">
        <x:v>dr-sp-0029-s5-v1</x:v>
      </x:c>
    </x:row>
    <x:row r="85" ht="44" customHeight="1">
      <x:c r="A85" s="9" t="str">
        <x:v>sp-0030</x:v>
      </x:c>
      <x:c r="B85" s="9" t="str">
        <x:v>S1</x:v>
      </x:c>
      <x:c r="C85" s="12" t="n">
        <x:v>3</x:v>
      </x:c>
      <x:c r="D85" s="12" t="n">
        <x:v>4</x:v>
      </x:c>
      <x:c r="E85" s="12" t="n">
        <x:f>MIN(C85:D85)</x:f>
        <x:v>3</x:v>
      </x:c>
      <x:c r="F85" s="12" t="n">
        <x:f>MAX(C85:D85)</x:f>
        <x:v>4</x:v>
      </x:c>
      <x:c r="G85" s="9" t="str">
        <x:v>prefer_independent</x:v>
      </x:c>
      <x:c r="H85" s="12" t="n">
        <x:v>4</x:v>
      </x:c>
      <x:c r="I85" s="12" t="n">
        <x:v>4</x:v>
      </x:c>
      <x:c r="J85" s="9" t="str">
        <x:f>IF(H85=I85,"value","range")</x:f>
        <x:v>value</x:v>
      </x:c>
      <x:c r="K85" s="9" t="str">
        <x:v>high</x:v>
      </x:c>
      <x:c r="L85" s="9" t="str">
        <x:v>supports_current_record</x:v>
      </x:c>
      <x:c r="M85" s="9" t="str">
        <x:v>Support owner 4 as a frozen-scope judgment without asserting a jurisdiction-free performance record.</x:v>
      </x:c>
      <x:c r="N85" s="9" t="str">
        <x:v>fusion-src-039;fusion-src-040</x:v>
      </x:c>
      <x:c r="O85" s="9" t="str">
        <x:v>Revisit if a separately defined jurisdictional stage includes physical testing rather than evidence review.</x:v>
      </x:c>
      <x:c r="P85" s="9" t="str">
        <x:v>false</x:v>
      </x:c>
      <x:c r="Q85" s="9" t="str">
        <x:v>false</x:v>
      </x:c>
      <x:c r="R85" s="9" t="str">
        <x:v>Licensing</x:v>
      </x:c>
      <x:c r="S85" s="9" t="str">
        <x:v>exact_stage</x:v>
      </x:c>
      <x:c r="T85" s="9" t="str">
        <x:v>observed legal/regulatory status</x:v>
      </x:c>
      <x:c r="U85" s="9" t="str">
        <x:v>Licensing work is analysis, evidence review, communication and decision-making. Producing the construction/operating evidence being reviewed is outside this licensing stage.</x:v>
      </x:c>
      <x:c r="V85" s="9" t="str">
        <x:v>The NRC proposed rule/status documents establish regulatory work and status only, not a completed licence or a globally common process.</x:v>
      </x:c>
      <x:c r="W85" s="9" t="str">
        <x:v>not_applicable</x:v>
      </x:c>
      <x:c r="X85" s="9" t="str">
        <x:v>not_applicable</x:v>
      </x:c>
      <x:c r="Y85" s="9" t="str">
        <x:v>not_applicable</x:v>
      </x:c>
      <x:c r="Z85" s="9" t="str">
        <x:v>not_applicable</x:v>
      </x:c>
      <x:c r="AA85" s="9" t="str">
        <x:v>dr-sp-0030-s1-v1</x:v>
      </x:c>
    </x:row>
    <x:row r="86" ht="60" customHeight="1">
      <x:c r="A86" s="3" t="str">
        <x:v>sp-0030</x:v>
      </x:c>
      <x:c r="B86" s="3" t="str">
        <x:v>S2</x:v>
      </x:c>
      <x:c r="C86" s="13" t="n">
        <x:v>1</x:v>
      </x:c>
      <x:c r="D86" s="13" t="n">
        <x:v>0</x:v>
      </x:c>
      <x:c r="E86" s="13" t="n">
        <x:f>MIN(C86:D86)</x:f>
        <x:v>0</x:v>
      </x:c>
      <x:c r="F86" s="13" t="n">
        <x:f>MAX(C86:D86)</x:f>
        <x:v>1</x:v>
      </x:c>
      <x:c r="G86" s="3" t="str">
        <x:v>needs_domain_review</x:v>
      </x:c>
      <x:c r="H86" s="13" t="n">
        <x:v>0</x:v>
      </x:c>
      <x:c r="I86" s="13" t="n">
        <x:v>1</x:v>
      </x:c>
      <x:c r="J86" s="3" t="str">
        <x:f>IF(H86=I86,"value","range")</x:f>
        <x:v>range</x:v>
      </x:c>
      <x:c r="K86" s="3" t="str">
        <x:v>low</x:v>
      </x:c>
      <x:c r="L86" s="3" t="str">
        <x:v>requires_jurisdiction_variant</x:v>
      </x:c>
      <x:c r="M86" s="3" t="str">
        <x:v>Carry 0-1 as an unadjudicated candidate range, not an empirical bound; do not select either owner-withheld value without a jurisdiction.</x:v>
      </x:c>
      <x:c r="N86" s="3" t="str">
        <x:v>fusion-src-039;fusion-src-040;fusion-src-004</x:v>
      </x:c>
      <x:c r="O86" s="3" t="str">
        <x:v>A defined jurisdiction/pathway and documented application-review-response chronology under the applicable framework.</x:v>
      </x:c>
      <x:c r="P86" s="3" t="str">
        <x:v>true</x:v>
      </x:c>
      <x:c r="Q86" s="3" t="str">
        <x:v>true</x:v>
      </x:c>
      <x:c r="R86" s="3" t="str">
        <x:v>Licensing</x:v>
      </x:c>
      <x:c r="S86" s="3" t="str">
        <x:v>exact_stage</x:v>
      </x:c>
      <x:c r="T86" s="3" t="str">
        <x:v>observed legal/regulatory status</x:v>
      </x:c>
      <x:c r="U86" s="3" t="str">
        <x:v>The relevant loop is application, substantive review, response and revision. A 90-day rulemaking comment period is not a plant-review cycle; no comparable completed fusion licensing duration is available.</x:v>
      </x:c>
      <x:c r="V86" s="3" t="str">
        <x:v>NRC proposed-rule status and enacted PRC authority are distinct. Chinese legal interpretation remains subject to qualified native-language regulatory review.</x:v>
      </x:c>
      <x:c r="W86" s="3" t="str">
        <x:v>not_applicable</x:v>
      </x:c>
      <x:c r="X86" s="3" t="str">
        <x:v>not_applicable</x:v>
      </x:c>
      <x:c r="Y86" s="3" t="str">
        <x:v>not_applicable</x:v>
      </x:c>
      <x:c r="Z86" s="3" t="str">
        <x:v>not_applicable</x:v>
      </x:c>
      <x:c r="AA86" s="3" t="str">
        <x:v>dr-sp-0030-s2-v1</x:v>
      </x:c>
    </x:row>
    <x:row r="87" ht="60" customHeight="1">
      <x:c r="A87" s="9" t="str">
        <x:v>sp-0030</x:v>
      </x:c>
      <x:c r="B87" s="9" t="str">
        <x:v>S3</x:v>
      </x:c>
      <x:c r="C87" s="12" t="n">
        <x:v>1</x:v>
      </x:c>
      <x:c r="D87" s="12" t="n">
        <x:v>0</x:v>
      </x:c>
      <x:c r="E87" s="12" t="n">
        <x:f>MIN(C87:D87)</x:f>
        <x:v>0</x:v>
      </x:c>
      <x:c r="F87" s="12" t="n">
        <x:f>MAX(C87:D87)</x:f>
        <x:v>1</x:v>
      </x:c>
      <x:c r="G87" s="9" t="str">
        <x:v>needs_domain_review</x:v>
      </x:c>
      <x:c r="H87" s="12" t="n">
        <x:v>0</x:v>
      </x:c>
      <x:c r="I87" s="12" t="n">
        <x:v>1</x:v>
      </x:c>
      <x:c r="J87" s="9" t="str">
        <x:f>IF(H87=I87,"value","range")</x:f>
        <x:v>range</x:v>
      </x:c>
      <x:c r="K87" s="9" t="str">
        <x:v>low</x:v>
      </x:c>
      <x:c r="L87" s="9" t="str">
        <x:v>requires_jurisdiction_variant</x:v>
      </x:c>
      <x:c r="M87" s="9" t="str">
        <x:v>Preserve 0-1 pending a jurisdiction-specific attempt definition, respecting the unresolved owner disposition.</x:v>
      </x:c>
      <x:c r="N87" s="9" t="str">
        <x:v>fusion-src-039;fusion-src-040;fusion-src-004</x:v>
      </x:c>
      <x:c r="O87" s="9" t="str">
        <x:v>Costed application and formal-review cases, with parallel drafting separated from substantive review throughput.</x:v>
      </x:c>
      <x:c r="P87" s="9" t="str">
        <x:v>true</x:v>
      </x:c>
      <x:c r="Q87" s="9" t="str">
        <x:v>true</x:v>
      </x:c>
      <x:c r="R87" s="9" t="str">
        <x:v>Licensing</x:v>
      </x:c>
      <x:c r="S87" s="9" t="str">
        <x:v>exact_stage</x:v>
      </x:c>
      <x:c r="T87" s="9" t="str">
        <x:v>observed legal/regulatory status</x:v>
      </x:c>
      <x:c r="U87" s="9" t="str">
        <x:v>Drafting and analysis can be repeated at lower marginal cost and in parallel; formal review consumes specialized effort and has a regime-specific throughput constraint. No measured comparable cost/throughput case resolves their balance.</x:v>
      </x:c>
      <x:c r="V87" s="9" t="str">
        <x:v>Legal sources establish authority or proposed process, not observed affordability or the number of attainable independent review cycles.</x:v>
      </x:c>
      <x:c r="W87" s="9" t="str">
        <x:v>not_applicable</x:v>
      </x:c>
      <x:c r="X87" s="9" t="str">
        <x:v>not_applicable</x:v>
      </x:c>
      <x:c r="Y87" s="9" t="str">
        <x:v>not_applicable</x:v>
      </x:c>
      <x:c r="Z87" s="9" t="str">
        <x:v>not_applicable</x:v>
      </x:c>
      <x:c r="AA87" s="9" t="str">
        <x:v>dr-sp-0030-s3-v1</x:v>
      </x:c>
    </x:row>
    <x:row r="88" ht="60" customHeight="1">
      <x:c r="A88" s="3" t="str">
        <x:v>sp-0030</x:v>
      </x:c>
      <x:c r="B88" s="3" t="str">
        <x:v>S4</x:v>
      </x:c>
      <x:c r="C88" s="13" t="n">
        <x:v>3</x:v>
      </x:c>
      <x:c r="D88" s="13" t="n">
        <x:v>4</x:v>
      </x:c>
      <x:c r="E88" s="13" t="n">
        <x:f>MIN(C88:D88)</x:f>
        <x:v>3</x:v>
      </x:c>
      <x:c r="F88" s="13" t="n">
        <x:f>MAX(C88:D88)</x:f>
        <x:v>4</x:v>
      </x:c>
      <x:c r="G88" s="3" t="str">
        <x:v>prefer_independent</x:v>
      </x:c>
      <x:c r="H88" s="13" t="n">
        <x:v>4</x:v>
      </x:c>
      <x:c r="I88" s="13" t="n">
        <x:v>4</x:v>
      </x:c>
      <x:c r="J88" s="3" t="str">
        <x:f>IF(H88=I88,"value","range")</x:f>
        <x:v>value</x:v>
      </x:c>
      <x:c r="K88" s="3" t="str">
        <x:v>high</x:v>
      </x:c>
      <x:c r="L88" s="3" t="str">
        <x:v>supports_current_record</x:v>
      </x:c>
      <x:c r="M88" s="3" t="str">
        <x:v>Support owner 4 while retaining jurisdiction-dependent S2/S3 and the missing completed case.</x:v>
      </x:c>
      <x:c r="N88" s="3" t="str">
        <x:v>fusion-src-039;fusion-src-040</x:v>
      </x:c>
      <x:c r="O88" s="3" t="str">
        <x:v>Revisit only if a jurisdictional variant explicitly incorporates physical test execution inside this stage.</x:v>
      </x:c>
      <x:c r="P88" s="3" t="str">
        <x:v>false</x:v>
      </x:c>
      <x:c r="Q88" s="3" t="str">
        <x:v>false</x:v>
      </x:c>
      <x:c r="R88" s="3" t="str">
        <x:v>Licensing</x:v>
      </x:c>
      <x:c r="S88" s="3" t="str">
        <x:v>exact_stage</x:v>
      </x:c>
      <x:c r="T88" s="3" t="str">
        <x:v>observed legal/regulatory status</x:v>
      </x:c>
      <x:c r="U88" s="3" t="str">
        <x:v>Licensing reviews evidence; construction, irradiation and physical operating demonstrations are separate stages. Hearings, statutory waits and regulator queues are institutional latency, not S4 physical floors.</x:v>
      </x:c>
      <x:c r="V88" s="3" t="str">
        <x:v>Legal texts do not empirically measure physical flexibility; the frozen stage boundary and owner decision ground this recommendation.</x:v>
      </x:c>
      <x:c r="W88" s="3" t="str">
        <x:v>not_applicable</x:v>
      </x:c>
      <x:c r="X88" s="3" t="str">
        <x:v>not_applicable</x:v>
      </x:c>
      <x:c r="Y88" s="3" t="str">
        <x:v>not_applicable</x:v>
      </x:c>
      <x:c r="Z88" s="3" t="str">
        <x:v>not_applicable</x:v>
      </x:c>
      <x:c r="AA88" s="3" t="str">
        <x:v>dr-sp-0030-s4-v1</x:v>
      </x:c>
    </x:row>
    <x:row r="89" ht="76" customHeight="1">
      <x:c r="A89" s="9" t="str">
        <x:v>sp-0030</x:v>
      </x:c>
      <x:c r="B89" s="9" t="str">
        <x:v>S5</x:v>
      </x:c>
      <x:c r="C89" s="12" t="n">
        <x:v>2</x:v>
      </x:c>
      <x:c r="D89" s="12" t="n">
        <x:v>0</x:v>
      </x:c>
      <x:c r="E89" s="12" t="n">
        <x:f>MIN(C89:D89)</x:f>
        <x:v>0</x:v>
      </x:c>
      <x:c r="F89" s="12" t="n">
        <x:f>MAX(C89:D89)</x:f>
        <x:v>2</x:v>
      </x:c>
      <x:c r="G89" s="9" t="str">
        <x:v>preserve_disagreement</x:v>
      </x:c>
      <x:c r="H89" s="12" t="n">
        <x:v>0</x:v>
      </x:c>
      <x:c r="I89" s="12" t="n">
        <x:v>2</x:v>
      </x:c>
      <x:c r="J89" s="9" t="str">
        <x:f>IF(H89=I89,"value","range")</x:f>
        <x:v>range</x:v>
      </x:c>
      <x:c r="K89" s="9" t="str">
        <x:v>low</x:v>
      </x:c>
      <x:c r="L89" s="9" t="str">
        <x:v>requires_human_expert</x:v>
      </x:c>
      <x:c r="M89" s="9" t="str">
        <x:v>Preserve the owner's 0-2 disagreement; do not manufacture 1 from two model marks.</x:v>
      </x:c>
      <x:c r="N89" s="9" t="str">
        <x:v>fusion-src-039;fusion-src-040;fusion-src-004</x:v>
      </x:c>
      <x:c r="O89" s="9" t="str">
        <x:v>A jurisdiction-specific licence/safety-case example identifying the next independent operating authorization and direct escaped consequences.</x:v>
      </x:c>
      <x:c r="P89" s="9" t="str">
        <x:v>true</x:v>
      </x:c>
      <x:c r="Q89" s="9" t="str">
        <x:v>true</x:v>
      </x:c>
      <x:c r="R89" s="9" t="str">
        <x:v>Licensing</x:v>
      </x:c>
      <x:c r="S89" s="9" t="str">
        <x:v>exact_stage</x:v>
      </x:c>
      <x:c r="T89" s="9" t="str">
        <x:v>observed legal/regulatory status</x:v>
      </x:c>
      <x:c r="U89" s="9" t="str">
        <x:v>A wrong approval or restrictive condition can authorize an unsafe step or impose serious rework before the next independent operating-readiness control. Do not assume that every downstream accident follows directly, or that regulator review catches every error inside this stage.</x:v>
      </x:c>
      <x:c r="V89" s="9" t="str">
        <x:v>Neither a proposed framework nor enacted authority identifies a verified independent post-licence boundary for a concrete pilot.</x:v>
      </x:c>
      <x:c r="W89" s="9" t="str">
        <x:v>Unsafe authorization, unjustified restrictions and serious rework before a verified independent operating boundary.</x:v>
      </x:c>
      <x:c r="X89" s="9" t="str">
        <x:v>Jurisdiction-specific independent operating-readiness authorization or technical protection after licence decision; existence/independence unresolved.</x:v>
      </x:c>
      <x:c r="Y89" s="9" t="str">
        <x:v>Remote plant/public harm that requires a separate independent operational safety failure; no assumed universal boundary.</x:v>
      </x:c>
      <x:c r="Z89" s="9" t="str">
        <x:v>assumed_not_verified</x:v>
      </x:c>
      <x:c r="AA89" s="9" t="str">
        <x:v>dr-sp-0030-s5-v1</x:v>
      </x:c>
    </x:row>
    <x:row r="90" ht="60" customHeight="1">
      <x:c r="A90" s="3" t="str">
        <x:v>sp-0031</x:v>
      </x:c>
      <x:c r="B90" s="3" t="str">
        <x:v>S1</x:v>
      </x:c>
      <x:c r="C90" s="13" t="n">
        <x:v>2</x:v>
      </x:c>
      <x:c r="D90" s="13" t="n">
        <x:v>2</x:v>
      </x:c>
      <x:c r="E90" s="13" t="n">
        <x:f>MIN(C90:D90)</x:f>
        <x:v>2</x:v>
      </x:c>
      <x:c r="F90" s="13" t="n">
        <x:f>MAX(C90:D90)</x:f>
        <x:v>2</x:v>
      </x:c>
      <x:c r="G90" s="3" t="str">
        <x:v>missing</x:v>
      </x:c>
      <x:c r="H90" s="13" t="n">
        <x:v>2</x:v>
      </x:c>
      <x:c r="I90" s="13" t="n">
        <x:v>2</x:v>
      </x:c>
      <x:c r="J90" s="3" t="str">
        <x:f>IF(H90=I90,"value","range")</x:f>
        <x:v>value</x:v>
      </x:c>
      <x:c r="K90" s="3" t="str">
        <x:v>low</x:v>
      </x:c>
      <x:c r="L90" s="3" t="str">
        <x:v>supports_current_record</x:v>
      </x:c>
      <x:c r="M90" s="3" t="str">
        <x:v>Keep the shared 2 as scope-based synthesis, not an observed grid-integration assessment.</x:v>
      </x:c>
      <x:c r="N90" s="3" t="str">
        <x:v>fusion-src-031</x:v>
      </x:c>
      <x:c r="O90" s="3" t="str">
        <x:v>An actual pilot electrical connection design and testing scope with documented physical works.</x:v>
      </x:c>
      <x:c r="P90" s="3" t="str">
        <x:v>false</x:v>
      </x:c>
      <x:c r="Q90" s="3" t="str">
        <x:v>false</x:v>
      </x:c>
      <x:c r="R90" s="3" t="str">
        <x:v>Grid integration</x:v>
      </x:c>
      <x:c r="S90" s="3" t="str">
        <x:v>target_programme_status</x:v>
      </x:c>
      <x:c r="T90" s="3" t="str">
        <x:v>company target</x:v>
      </x:c>
      <x:c r="U90" s="3" t="str">
        <x:v>Connection combines network/protection analysis with physical connection and energized testing. That mixed scope supports a provisional 2 even though no observed fusion grid-export case is available.</x:v>
      </x:c>
      <x:c r="V90" s="3" t="str">
        <x:v>SPARC's company target is not a power-plant grid connection; it is only a limit on what the evidence can establish.</x:v>
      </x:c>
      <x:c r="W90" s="3" t="str">
        <x:v>not_applicable</x:v>
      </x:c>
      <x:c r="X90" s="3" t="str">
        <x:v>not_applicable</x:v>
      </x:c>
      <x:c r="Y90" s="3" t="str">
        <x:v>not_applicable</x:v>
      </x:c>
      <x:c r="Z90" s="3" t="str">
        <x:v>not_applicable</x:v>
      </x:c>
      <x:c r="AA90" s="3" t="str">
        <x:v>dr-sp-0031-s1-v1</x:v>
      </x:c>
    </x:row>
    <x:row r="91" ht="60" customHeight="1">
      <x:c r="A91" s="9" t="str">
        <x:v>sp-0031</x:v>
      </x:c>
      <x:c r="B91" s="9" t="str">
        <x:v>S2</x:v>
      </x:c>
      <x:c r="C91" s="12" t="n">
        <x:v>1</x:v>
      </x:c>
      <x:c r="D91" s="12" t="n">
        <x:v>1</x:v>
      </x:c>
      <x:c r="E91" s="12" t="n">
        <x:f>MIN(C91:D91)</x:f>
        <x:v>1</x:v>
      </x:c>
      <x:c r="F91" s="12" t="n">
        <x:f>MAX(C91:D91)</x:f>
        <x:v>1</x:v>
      </x:c>
      <x:c r="G91" s="9" t="str">
        <x:v>missing</x:v>
      </x:c>
      <x:c r="H91" s="12" t="n">
        <x:v>1</x:v>
      </x:c>
      <x:c r="I91" s="12" t="n">
        <x:v>2</x:v>
      </x:c>
      <x:c r="J91" s="9" t="str">
        <x:f>IF(H91=I91,"value","range")</x:f>
        <x:v>range</x:v>
      </x:c>
      <x:c r="K91" s="9" t="str">
        <x:v>low</x:v>
      </x:c>
      <x:c r="L91" s="9" t="str">
        <x:v>insufficient_evidence</x:v>
      </x:c>
      <x:c r="M91" s="9" t="str">
        <x:v>Retain a provisional 1-2 candidate interval pending a concrete connection case.</x:v>
      </x:c>
      <x:c r="N91" s="9" t="str">
        <x:v>fusion-src-031</x:v>
      </x:c>
      <x:c r="O91" s="9" t="str">
        <x:v>A pilot connection study/revision and energized-test log with institutional queue time identified separately.</x:v>
      </x:c>
      <x:c r="P91" s="9" t="str">
        <x:v>false</x:v>
      </x:c>
      <x:c r="Q91" s="9" t="str">
        <x:v>false</x:v>
      </x:c>
      <x:c r="R91" s="9" t="str">
        <x:v>Grid integration</x:v>
      </x:c>
      <x:c r="S91" s="9" t="str">
        <x:v>target_programme_status</x:v>
      </x:c>
      <x:c r="T91" s="9" t="str">
        <x:v>company target</x:v>
      </x:c>
      <x:c r="U91" s="9" t="str">
        <x:v>The relevant loop is study, technical correction and connection/protection testing. Project targets and interconnection queues do not measure that cycle; there is no observed magnetic-confinement export case in the reviewed evidence set.</x:v>
      </x:c>
      <x:c r="V91" s="9" t="str">
        <x:v>Company performance targets cannot support grid feedback timing. No specific network or site is frozen.</x:v>
      </x:c>
      <x:c r="W91" s="9" t="str">
        <x:v>not_applicable</x:v>
      </x:c>
      <x:c r="X91" s="9" t="str">
        <x:v>not_applicable</x:v>
      </x:c>
      <x:c r="Y91" s="9" t="str">
        <x:v>not_applicable</x:v>
      </x:c>
      <x:c r="Z91" s="9" t="str">
        <x:v>not_applicable</x:v>
      </x:c>
      <x:c r="AA91" s="9" t="str">
        <x:v>dr-sp-0031-s2-v1</x:v>
      </x:c>
    </x:row>
    <x:row r="92" ht="60" customHeight="1">
      <x:c r="A92" s="3" t="str">
        <x:v>sp-0031</x:v>
      </x:c>
      <x:c r="B92" s="3" t="str">
        <x:v>S3</x:v>
      </x:c>
      <x:c r="C92" s="13" t="n">
        <x:v>1</x:v>
      </x:c>
      <x:c r="D92" s="13" t="n">
        <x:v>0</x:v>
      </x:c>
      <x:c r="E92" s="13" t="n">
        <x:f>MIN(C92:D92)</x:f>
        <x:v>0</x:v>
      </x:c>
      <x:c r="F92" s="13" t="n">
        <x:f>MAX(C92:D92)</x:f>
        <x:v>1</x:v>
      </x:c>
      <x:c r="G92" s="3" t="str">
        <x:v>needs_better_evidence</x:v>
      </x:c>
      <x:c r="H92" s="13" t="n">
        <x:v>0</x:v>
      </x:c>
      <x:c r="I92" s="13" t="n">
        <x:v>1</x:v>
      </x:c>
      <x:c r="J92" s="3" t="str">
        <x:f>IF(H92=I92,"value","range")</x:f>
        <x:v>range</x:v>
      </x:c>
      <x:c r="K92" s="3" t="str">
        <x:v>low</x:v>
      </x:c>
      <x:c r="L92" s="3" t="str">
        <x:v>requires_pathway_variant</x:v>
      </x:c>
      <x:c r="M92" s="3" t="str">
        <x:v>Preserve the owner-requested 0-1 interval and route greenfield versus reused-site connection scope.</x:v>
      </x:c>
      <x:c r="N92" s="3" t="str">
        <x:v>fusion-src-031</x:v>
      </x:c>
      <x:c r="O92" s="3" t="str">
        <x:v>A costed pilot single-line/connection design identifying reused assets, new works and test access.</x:v>
      </x:c>
      <x:c r="P92" s="3" t="str">
        <x:v>true</x:v>
      </x:c>
      <x:c r="Q92" s="3" t="str">
        <x:v>true</x:v>
      </x:c>
      <x:c r="R92" s="3" t="str">
        <x:v>Grid integration</x:v>
      </x:c>
      <x:c r="S92" s="3" t="str">
        <x:v>target_programme_status</x:v>
      </x:c>
      <x:c r="T92" s="3" t="str">
        <x:v>company target</x:v>
      </x:c>
      <x:c r="U92" s="3" t="str">
        <x:v>Study and protection-setting attempts are relatively cheap and parallel; the physical connection and energized integrated tests consume costly assets and scarce coordinated network access. Site reuse changes the attainable decisive attempt set.</x:v>
      </x:c>
      <x:c r="V92" s="3" t="str">
        <x:v>No canonical fusion-grid cost/throughput record exists; SPARC targets do not resolve one.</x:v>
      </x:c>
      <x:c r="W92" s="3" t="str">
        <x:v>not_applicable</x:v>
      </x:c>
      <x:c r="X92" s="3" t="str">
        <x:v>not_applicable</x:v>
      </x:c>
      <x:c r="Y92" s="3" t="str">
        <x:v>not_applicable</x:v>
      </x:c>
      <x:c r="Z92" s="3" t="str">
        <x:v>not_applicable</x:v>
      </x:c>
      <x:c r="AA92" s="3" t="str">
        <x:v>dr-sp-0031-s3-v1</x:v>
      </x:c>
    </x:row>
    <x:row r="93" ht="60" customHeight="1">
      <x:c r="A93" s="9" t="str">
        <x:v>sp-0031</x:v>
      </x:c>
      <x:c r="B93" s="9" t="str">
        <x:v>S4</x:v>
      </x:c>
      <x:c r="C93" s="12" t="n">
        <x:v>1</x:v>
      </x:c>
      <x:c r="D93" s="12" t="n">
        <x:v>0</x:v>
      </x:c>
      <x:c r="E93" s="12" t="n">
        <x:f>MIN(C93:D93)</x:f>
        <x:v>0</x:v>
      </x:c>
      <x:c r="F93" s="12" t="n">
        <x:f>MAX(C93:D93)</x:f>
        <x:v>1</x:v>
      </x:c>
      <x:c r="G93" s="9" t="str">
        <x:v>needs_better_evidence</x:v>
      </x:c>
      <x:c r="H93" s="12" t="n">
        <x:v>0</x:v>
      </x:c>
      <x:c r="I93" s="12" t="n">
        <x:v>1</x:v>
      </x:c>
      <x:c r="J93" s="9" t="str">
        <x:f>IF(H93=I93,"value","range")</x:f>
        <x:v>range</x:v>
      </x:c>
      <x:c r="K93" s="9" t="str">
        <x:v>low</x:v>
      </x:c>
      <x:c r="L93" s="9" t="str">
        <x:v>requires_pathway_variant</x:v>
      </x:c>
      <x:c r="M93" s="9" t="str">
        <x:v>Preserve the owner 0-1 interval until the physical site/pathway topology is specified.</x:v>
      </x:c>
      <x:c r="N93" s="9" t="str">
        <x:v>missing</x:v>
      </x:c>
      <x:c r="O93" s="9" t="str">
        <x:v>A site-specific engineering plan with installation/energization durations separated from procurement and network scheduling.</x:v>
      </x:c>
      <x:c r="P93" s="9" t="str">
        <x:v>true</x:v>
      </x:c>
      <x:c r="Q93" s="9" t="str">
        <x:v>true</x:v>
      </x:c>
      <x:c r="R93" s="9" t="str">
        <x:v>Grid integration</x:v>
      </x:c>
      <x:c r="S93" s="9" t="str">
        <x:v>absent</x:v>
      </x:c>
      <x:c r="T93" s="9" t="str">
        <x:v>No directly relevant canonical source located</x:v>
      </x:c>
      <x:c r="U93" s="9" t="str">
        <x:v>Switchyard installation, physical connection and energization are intrinsic where new works are required. Network booking, delivery queues and legal outage permissions are not automatically physical floors; reusing a suitable site changes the work required.</x:v>
      </x:c>
      <x:c r="V93" s="9" t="str">
        <x:v>Target-only fusion sources contain no observed export/connection sequence. STEP's failed-refresh restriction is retained and its current target wording is not used as support.</x:v>
      </x:c>
      <x:c r="W93" s="9" t="str">
        <x:v>not_applicable</x:v>
      </x:c>
      <x:c r="X93" s="9" t="str">
        <x:v>not_applicable</x:v>
      </x:c>
      <x:c r="Y93" s="9" t="str">
        <x:v>not_applicable</x:v>
      </x:c>
      <x:c r="Z93" s="9" t="str">
        <x:v>not_applicable</x:v>
      </x:c>
      <x:c r="AA93" s="9" t="str">
        <x:v>dr-sp-0031-s4-v1</x:v>
      </x:c>
    </x:row>
    <x:row r="94" ht="60" customHeight="1">
      <x:c r="A94" s="3" t="str">
        <x:v>sp-0031</x:v>
      </x:c>
      <x:c r="B94" s="3" t="str">
        <x:v>S5</x:v>
      </x:c>
      <x:c r="C94" s="13" t="n">
        <x:v>1</x:v>
      </x:c>
      <x:c r="D94" s="13" t="n">
        <x:v>0</x:v>
      </x:c>
      <x:c r="E94" s="13" t="n">
        <x:f>MIN(C94:D94)</x:f>
        <x:v>0</x:v>
      </x:c>
      <x:c r="F94" s="13" t="n">
        <x:f>MAX(C94:D94)</x:f>
        <x:v>1</x:v>
      </x:c>
      <x:c r="G94" s="3" t="str">
        <x:v>prefer_seed</x:v>
      </x:c>
      <x:c r="H94" s="13" t="n">
        <x:v>1</x:v>
      </x:c>
      <x:c r="I94" s="13" t="n">
        <x:v>1</x:v>
      </x:c>
      <x:c r="J94" s="3" t="str">
        <x:f>IF(H94=I94,"value","range")</x:f>
        <x:v>value</x:v>
      </x:c>
      <x:c r="K94" s="3" t="str">
        <x:v>low</x:v>
      </x:c>
      <x:c r="L94" s="3" t="str">
        <x:v>requires_human_expert</x:v>
      </x:c>
      <x:c r="M94" s="3" t="str">
        <x:v>Support owner 1 provisionally; the actual independent utility/plant boundary requires named review.</x:v>
      </x:c>
      <x:c r="N94" s="3" t="str">
        <x:v>fusion-src-031</x:v>
      </x:c>
      <x:c r="O94" s="3" t="str">
        <x:v>A coordinated protection study, staged energization plan and independently verified isolation boundaries.</x:v>
      </x:c>
      <x:c r="P94" s="3" t="str">
        <x:v>true</x:v>
      </x:c>
      <x:c r="Q94" s="3" t="str">
        <x:v>true</x:v>
      </x:c>
      <x:c r="R94" s="3" t="str">
        <x:v>Grid integration</x:v>
      </x:c>
      <x:c r="S94" s="3" t="str">
        <x:v>target_programme_status</x:v>
      </x:c>
      <x:c r="T94" s="3" t="str">
        <x:v>company target</x:v>
      </x:c>
      <x:c r="U94" s="3" t="str">
        <x:v>Erroneous protection settings or energization can directly damage connected equipment or disturb the network before independent utility protection isolates it. Do not count remote cascades requiring additional independent grid-protection failures.</x:v>
      </x:c>
      <x:c r="V94" s="3" t="str">
        <x:v>No fusion grid-export case or validated pilot protection architecture is in the evidence set.</x:v>
      </x:c>
      <x:c r="W94" s="3" t="str">
        <x:v>Local equipment damage and network disturbance before independent isolation/protection acts.</x:v>
      </x:c>
      <x:c r="X94" s="3" t="str">
        <x:v>Independent utility/plant protection and isolation at the agreed connection boundary.</x:v>
      </x:c>
      <x:c r="Y94" s="3" t="str">
        <x:v>Remote cascading outage or plant harm requiring subsequent independent network/plant protection failures.</x:v>
      </x:c>
      <x:c r="Z94" s="3" t="str">
        <x:v>assumed_not_verified</x:v>
      </x:c>
      <x:c r="AA94" s="3" t="str">
        <x:v>dr-sp-0031-s5-v1</x:v>
      </x:c>
    </x:row>
  </x:sheetData>
  <x:mergeCells>
    <x:mergeCell ref="A1:D1"/>
    <x:mergeCell ref="A2:D2"/>
  </x:mergeCells>
  <x:conditionalFormatting sqref="K5:K94">
    <x:cfRule type="containsText" dxfId="0" priority="1" operator="containsText" text="low"/>
  </x:conditionalFormatting>
  <x:conditionalFormatting sqref="P5:P94">
    <x:cfRule type="containsText" dxfId="1" priority="2" operator="containsText" text="true"/>
  </x:conditionalFormatting>
  <x:pageMargins left="0.7" right="0.7" top="0.75" bottom="0.75" header="0.3" footer="0.3"/>
  <x:tableParts count="1">
    <x:tablePart xmlns:r="http://schemas.openxmlformats.org/officeDocument/2006/relationships" r:id="R07a2df19b83847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58" hidden="0" customWidth="1"/>
    <x:col min="4" max="4" width="12" hidden="0" customWidth="1"/>
    <x:col min="5" max="5" width="105" hidden="0" customWidth="1"/>
    <x:col min="6" max="6" width="45" hidden="0" customWidth="1"/>
  </x:cols>
  <x:sheetData>
    <x:row r="1" ht="54" customHeight="1">
      <x:c r="A1" s="5" t="str">
        <x:v>Load-bearing gaps</x:v>
      </x:c>
      <x:c r="B1" s="5"/>
      <x:c r="C1" s="5"/>
      <x:c r="D1" s="5"/>
      <x:c r="E1" s="5"/>
      <x:c r="F1" s="5"/>
    </x:row>
    <x:row r="2" ht="43" customHeight="1">
      <x:c r="A2" s="6" t="str">
        <x:v>AI-assisted · recommendation only. Details extend to the right.</x:v>
      </x:c>
      <x:c r="B2" s="6"/>
      <x:c r="C2" s="6"/>
      <x:c r="D2" s="6"/>
      <x:c r="E2" s="6"/>
      <x:c r="F2" s="6"/>
    </x:row>
    <x:row r="3">
      <x:c r="A3" s="3"/>
      <x:c r="B3" s="3"/>
      <x:c r="C3" s="3"/>
      <x:c r="D3" s="3"/>
      <x:c r="E3" s="3"/>
      <x:c r="F3" s="3"/>
    </x:row>
    <x:row r="4" ht="43" customHeight="1">
      <x:c r="A4" s="8" t="str">
        <x:v>Gap ID</x:v>
      </x:c>
      <x:c r="B4" s="8" t="str">
        <x:v>Profile ID</x:v>
      </x:c>
      <x:c r="C4" s="8" t="str">
        <x:v>Empirical outcome still missing</x:v>
      </x:c>
      <x:c r="D4" s="8" t="str">
        <x:v>Status</x:v>
      </x:c>
      <x:c r="E4" s="8" t="str">
        <x:v>Why it remains open</x:v>
      </x:c>
      <x:c r="F4" s="8" t="str">
        <x:v>Canonical context IDs</x:v>
      </x:c>
    </x:row>
    <x:row r="5" ht="44" customHeight="1">
      <x:c r="A5" s="9" t="str">
        <x:v>gap-01</x:v>
      </x:c>
      <x:c r="B5" s="9" t="str">
        <x:v>sp-0016</x:v>
      </x:c>
      <x:c r="C5" s="9" t="str">
        <x:v>experiment-selection cycle reduction</x:v>
      </x:c>
      <x:c r="D5" s="9" t="str">
        <x:v>open</x:v>
      </x:c>
      <x:c r="E5" s="9" t="str">
        <x:v>No elapsed or costly selection-loop reduction study in the canonical set.</x:v>
      </x:c>
      <x:c r="F5" s="9" t="str">
        <x:v>fusion-src-018;fusion-src-019;fusion-src-024</x:v>
      </x:c>
    </x:row>
    <x:row r="6" ht="44" customHeight="1">
      <x:c r="A6" s="3" t="str">
        <x:v>gap-02</x:v>
      </x:c>
      <x:c r="B6" s="3" t="str">
        <x:v>sp-0020</x:v>
      </x:c>
      <x:c r="C6" s="3" t="str">
        <x:v>completed accepted materials qualification</x:v>
      </x:c>
      <x:c r="D6" s="3" t="str">
        <x:v>open</x:v>
      </x:c>
      <x:c r="E6" s="3" t="str">
        <x:v>Planned IFMIF-DONES irradiation plus examination is not completed accepted qualification.</x:v>
      </x:c>
      <x:c r="F6" s="3" t="str">
        <x:v>fusion-src-026;fusion-src-045;fusion-src-046</x:v>
      </x:c>
    </x:row>
    <x:row r="7" ht="44" customHeight="1">
      <x:c r="A7" s="9" t="str">
        <x:v>gap-03</x:v>
      </x:c>
      <x:c r="B7" s="9" t="str">
        <x:v>sp-0023</x:v>
      </x:c>
      <x:c r="C7" s="9" t="str">
        <x:v>combined-environment plasma-facing-component qualification</x:v>
      </x:c>
      <x:c r="D7" s="9" t="str">
        <x:v>open</x:v>
      </x:c>
      <x:c r="E7" s="9" t="str">
        <x:v>No pilot-relevant combined neutron, heat-flux, cycling, erosion and maintainability result.</x:v>
      </x:c>
      <x:c r="F7" s="9" t="str">
        <x:v>fusion-src-023;fusion-src-026;fusion-src-027;fusion-src-045</x:v>
      </x:c>
    </x:row>
    <x:row r="8" ht="42" customHeight="1">
      <x:c r="A8" s="3" t="str">
        <x:v>gap-04</x:v>
      </x:c>
      <x:c r="B8" s="3" t="str">
        <x:v>sp-0024</x:v>
      </x:c>
      <x:c r="C8" s="3" t="str">
        <x:v>integrated self-sufficient tritium/fuel cycle</x:v>
      </x:c>
      <x:c r="D8" s="3" t="str">
        <x:v>open</x:v>
      </x:c>
      <x:c r="E8" s="3" t="str">
        <x:v>No pilot-scale integrated breeder, extraction, processing and inventory closure result.</x:v>
      </x:c>
      <x:c r="F8" s="3" t="str">
        <x:v>fusion-src-028;fusion-src-038</x:v>
      </x:c>
    </x:row>
    <x:row r="9" ht="44" customHeight="1">
      <x:c r="A9" s="9" t="str">
        <x:v>gap-05</x:v>
      </x:c>
      <x:c r="B9" s="9" t="str">
        <x:v>sp-0025</x:v>
      </x:c>
      <x:c r="C9" s="9" t="str">
        <x:v>qualified integrated blanket</x:v>
      </x:c>
      <x:c r="D9" s="9" t="str">
        <x:v>open</x:v>
      </x:c>
      <x:c r="E9" s="9" t="str">
        <x:v>Future TBM tests do not establish qualified power-plant blanket performance.</x:v>
      </x:c>
      <x:c r="F9" s="9" t="str">
        <x:v>fusion-src-028;fusion-src-038;fusion-src-045</x:v>
      </x:c>
    </x:row>
    <x:row r="10" ht="44" customHeight="1">
      <x:c r="A10" s="3" t="str">
        <x:v>gap-06</x:v>
      </x:c>
      <x:c r="B10" s="3" t="str">
        <x:v>sp-0028</x:v>
      </x:c>
      <x:c r="C10" s="3" t="str">
        <x:v>AI-shortened nuclear/tritium commissioning</x:v>
      </x:c>
      <x:c r="D10" s="3" t="str">
        <x:v>open</x:v>
      </x:c>
      <x:c r="E10" s="3" t="str">
        <x:v>Research-device startup and target schedules do not measure this outcome.</x:v>
      </x:c>
      <x:c r="F10" s="3" t="str">
        <x:v>fusion-src-033;fusion-src-034;fusion-src-036</x:v>
      </x:c>
    </x:row>
    <x:row r="11" ht="42" customHeight="1">
      <x:c r="A11" s="9" t="str">
        <x:v>gap-07</x:v>
      </x:c>
      <x:c r="B11" s="9" t="str">
        <x:v>sp-0029</x:v>
      </x:c>
      <x:c r="C11" s="9" t="str">
        <x:v>commercial reliability/availability</x:v>
      </x:c>
      <x:c r="D11" s="9" t="str">
        <x:v>open</x:v>
      </x:c>
      <x:c r="E11" s="9" t="str">
        <x:v>Pulse records do not measure integrated availability, maintenance life or capacity factor.</x:v>
      </x:c>
      <x:c r="F11" s="9" t="str">
        <x:v>fusion-src-011;fusion-src-032</x:v>
      </x:c>
    </x:row>
    <x:row r="12" ht="44" customHeight="1">
      <x:c r="A12" s="3" t="str">
        <x:v>gap-08</x:v>
      </x:c>
      <x:c r="B12" s="3" t="str">
        <x:v>sp-0030</x:v>
      </x:c>
      <x:c r="C12" s="3" t="str">
        <x:v>comparable completed fusion licensing</x:v>
      </x:c>
      <x:c r="D12" s="3" t="str">
        <x:v>open</x:v>
      </x:c>
      <x:c r="E12" s="3" t="str">
        <x:v>Legal status is known; a comparable accepted full safety case and measured review loop are missing.</x:v>
      </x:c>
      <x:c r="F12" s="3" t="str">
        <x:v>fusion-src-004;fusion-src-039;fusion-src-040</x:v>
      </x:c>
    </x:row>
    <x:row r="13" ht="44" customHeight="1">
      <x:c r="A13" s="9" t="str">
        <x:v>gap-09</x:v>
      </x:c>
      <x:c r="B13" s="9" t="str">
        <x:v>sp-0031</x:v>
      </x:c>
      <x:c r="C13" s="9" t="str">
        <x:v>observed fusion grid export</x:v>
      </x:c>
      <x:c r="D13" s="9" t="str">
        <x:v>open</x:v>
      </x:c>
      <x:c r="E13" s="9" t="str">
        <x:v>No observed magnetic-confinement electricity-export and grid-operation case in the reviewed evidence set.</x:v>
      </x:c>
      <x:c r="F13" s="9" t="str">
        <x:v>fusion-src-031</x:v>
      </x:c>
    </x:row>
  </x:sheetData>
  <x:mergeCells>
    <x:mergeCell ref="A1:D1"/>
    <x:mergeCell ref="A2:D2"/>
  </x:mergeCells>
  <x:pageMargins left="0.7" right="0.7" top="0.75" bottom="0.75" header="0.3" footer="0.3"/>
  <x:tableParts count="1">
    <x:tablePart xmlns:r="http://schemas.openxmlformats.org/officeDocument/2006/relationships" r:id="R272d993aeaec4f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7" hidden="0" customWidth="1"/>
    <x:col min="4" max="4" width="20" hidden="0" customWidth="1"/>
    <x:col min="5" max="5" width="106" hidden="0" customWidth="1"/>
    <x:col min="6" max="6" width="99" hidden="0" customWidth="1"/>
    <x:col min="7" max="7" width="38" hidden="0" customWidth="1"/>
  </x:cols>
  <x:sheetData>
    <x:row r="1" ht="54" customHeight="1">
      <x:c r="A1" s="5" t="str">
        <x:v>Variants</x:v>
      </x:c>
      <x:c r="B1" s="5"/>
      <x:c r="C1" s="5"/>
      <x:c r="D1" s="5"/>
      <x:c r="E1" s="5"/>
      <x:c r="F1" s="5"/>
      <x:c r="G1" s="5"/>
    </x:row>
    <x:row r="2" ht="43" customHeight="1">
      <x:c r="A2" s="6" t="str">
        <x:v>AI-assisted · recommendation only. Details extend to the right.</x:v>
      </x:c>
      <x:c r="B2" s="6"/>
      <x:c r="C2" s="6"/>
      <x:c r="D2" s="6"/>
      <x:c r="E2" s="6"/>
      <x:c r="F2" s="6"/>
      <x:c r="G2" s="6"/>
    </x:row>
    <x:row r="3">
      <x:c r="A3" s="3"/>
      <x:c r="B3" s="3"/>
      <x:c r="C3" s="3"/>
      <x:c r="D3" s="3"/>
      <x:c r="E3" s="3"/>
      <x:c r="F3" s="3"/>
      <x:c r="G3" s="3"/>
    </x:row>
    <x:row r="4" ht="43" customHeight="1">
      <x:c r="A4" s="8" t="str">
        <x:v>Profile ID</x:v>
      </x:c>
      <x:c r="B4" s="8" t="str">
        <x:v>Dimension</x:v>
      </x:c>
      <x:c r="C4" s="8" t="str">
        <x:v>Variant type</x:v>
      </x:c>
      <x:c r="D4" s="8" t="str">
        <x:v>Recommended interval</x:v>
      </x:c>
      <x:c r="E4" s="8" t="str">
        <x:v>Scope question for later work</x:v>
      </x:c>
      <x:c r="F4" s="8" t="str">
        <x:v>Technical constraint</x:v>
      </x:c>
      <x:c r="G4" s="8" t="str">
        <x:v>Canonical source IDs</x:v>
      </x:c>
    </x:row>
    <x:row r="5" ht="44" customHeight="1">
      <x:c r="A5" s="9" t="str">
        <x:v>sp-0020</x:v>
      </x:c>
      <x:c r="B5" s="9" t="str">
        <x:v>S3</x:v>
      </x:c>
      <x:c r="C5" s="9" t="str">
        <x:v>pathway</x:v>
      </x:c>
      <x:c r="D5" s="9" t="str">
        <x:v>0-1</x:v>
      </x:c>
      <x:c r="E5" s="9" t="str">
        <x:v>Separate qualification variants by material, spectrum/transmutation match, target damage and accepted examination route; do not pool Eurofer with tungsten/copper.</x:v>
      </x:c>
      <x:c r="F5" s="9" t="str">
        <x:v>The HFTM targets are limited-volume designs. Eurofer versus tungsten/copper matching materially changes what counts as a useful attempt.</x:v>
      </x:c>
      <x:c r="G5" s="9" t="str">
        <x:v>fusion-src-045;fusion-src-046</x:v>
      </x:c>
    </x:row>
    <x:row r="6" ht="44" customHeight="1">
      <x:c r="A6" s="3" t="str">
        <x:v>sp-0021</x:v>
      </x:c>
      <x:c r="B6" s="3" t="str">
        <x:v>S2</x:v>
      </x:c>
      <x:c r="C6" s="3" t="str">
        <x:v>pathway</x:v>
      </x:c>
      <x:c r="D6" s="3" t="str">
        <x:v>1-2</x:v>
      </x:c>
      <x:c r="E6" s="3" t="str">
        <x:v>Separate HTS/LTS conductor and coil test-scale variants when the ordinary prototype learning loop differs; HH70 is not a generic high-field timing baseline.</x:v>
      </x:c>
      <x:c r="F6" s="3" t="str">
        <x:v>Low-field research-device HTS engineering does not establish cycle timing for high-field stressed coils or conventional large-machine magnets.</x:v>
      </x:c>
      <x:c r="G6" s="3" t="str">
        <x:v>fusion-src-014;fusion-src-012</x:v>
      </x:c>
    </x:row>
    <x:row r="7" ht="44" customHeight="1">
      <x:c r="A7" s="9" t="str">
        <x:v>sp-0022</x:v>
      </x:c>
      <x:c r="B7" s="9" t="str">
        <x:v>S2</x:v>
      </x:c>
      <x:c r="C7" s="9" t="str">
        <x:v>pathway</x:v>
      </x:c>
      <x:c r="D7" s="9" t="str">
        <x:v>1-2</x:v>
      </x:c>
      <x:c r="E7" s="9" t="str">
        <x:v>Distinguish RF-source/launcher and neutral-beam development loops where prototype and conditioning requirements differ.</x:v>
      </x:c>
      <x:c r="F7" s="9" t="str">
        <x:v>The reported eight-month DIII-D upgrade is operator reporting; JT-60SA future operations are a target. Neither directly times the frozen development loop.</x:v>
      </x:c>
      <x:c r="G7" s="9" t="str">
        <x:v>fusion-src-029;fusion-src-034</x:v>
      </x:c>
    </x:row>
    <x:row r="8" ht="44" customHeight="1">
      <x:c r="A8" s="3" t="str">
        <x:v>sp-0025</x:v>
      </x:c>
      <x:c r="B8" s="3" t="str">
        <x:v>S4</x:v>
      </x:c>
      <x:c r="C8" s="3" t="str">
        <x:v>pathway</x:v>
      </x:c>
      <x:c r="D8" s="3" t="str">
        <x:v>0-1</x:v>
      </x:c>
      <x:c r="E8" s="3" t="str">
        <x:v>Separate blanket concept and coolant/breeder test routes if they require materially different exposure, conditioning or representative integrated tests.</x:v>
      </x:c>
      <x:c r="F8" s="3" t="str">
        <x:v>Materials irradiation is adjacent to blanket-system development; solid/liquid breeder and coolant/test routes need distinct representativeness arguments.</x:v>
      </x:c>
      <x:c r="G8" s="3" t="str">
        <x:v>fusion-src-038;fusion-src-045</x:v>
      </x:c>
    </x:row>
    <x:row r="9" ht="44" customHeight="1">
      <x:c r="A9" s="9" t="str">
        <x:v>sp-0030</x:v>
      </x:c>
      <x:c r="B9" s="9" t="str">
        <x:v>S2</x:v>
      </x:c>
      <x:c r="C9" s="9" t="str">
        <x:v>jurisdiction</x:v>
      </x:c>
      <x:c r="D9" s="9" t="str">
        <x:v>0-1</x:v>
      </x:c>
      <x:c r="E9" s="9" t="str">
        <x:v>Determine whether US, PRC and other pilot-licensing pathways require separate process stages; keep shared intrinsic scope fixed rather than country-adjusting S values.</x:v>
      </x:c>
      <x:c r="F9" s="9" t="str">
        <x:v>NRC proposed-rule status and enacted PRC authority are distinct. Chinese legal interpretation remains subject to qualified native-language regulatory review.</x:v>
      </x:c>
      <x:c r="G9" s="9" t="str">
        <x:v>fusion-src-039;fusion-src-040;fusion-src-004</x:v>
      </x:c>
    </x:row>
    <x:row r="10" ht="44" customHeight="1">
      <x:c r="A10" s="3" t="str">
        <x:v>sp-0030</x:v>
      </x:c>
      <x:c r="B10" s="3" t="str">
        <x:v>S3</x:v>
      </x:c>
      <x:c r="C10" s="3" t="str">
        <x:v>jurisdiction</x:v>
      </x:c>
      <x:c r="D10" s="3" t="str">
        <x:v>0-1</x:v>
      </x:c>
      <x:c r="E10" s="3" t="str">
        <x:v>Define formal-review attempts and throughput within each applicable licensing regime, separately from parallel application drafting.</x:v>
      </x:c>
      <x:c r="F10" s="3" t="str">
        <x:v>Legal sources establish authority or proposed process, not observed affordability or the number of attainable independent review cycles.</x:v>
      </x:c>
      <x:c r="G10" s="3" t="str">
        <x:v>fusion-src-039;fusion-src-040;fusion-src-004</x:v>
      </x:c>
    </x:row>
    <x:row r="11" ht="44" customHeight="1">
      <x:c r="A11" s="9" t="str">
        <x:v>sp-0031</x:v>
      </x:c>
      <x:c r="B11" s="9" t="str">
        <x:v>S3</x:v>
      </x:c>
      <x:c r="C11" s="9" t="str">
        <x:v>pathway</x:v>
      </x:c>
      <x:c r="D11" s="9" t="str">
        <x:v>0-1</x:v>
      </x:c>
      <x:c r="E11" s="9" t="str">
        <x:v>Distinguish a greenfield connection from technically adequate reused generation-site infrastructure; do not treat a single connection as unlimited study throughput.</x:v>
      </x:c>
      <x:c r="F11" s="9" t="str">
        <x:v>No canonical fusion-grid cost/throughput record exists; SPARC targets do not resolve one.</x:v>
      </x:c>
      <x:c r="G11" s="9" t="str">
        <x:v>fusion-src-031</x:v>
      </x:c>
    </x:row>
    <x:row r="12" ht="44" customHeight="1">
      <x:c r="A12" s="3" t="str">
        <x:v>sp-0031</x:v>
      </x:c>
      <x:c r="B12" s="3" t="str">
        <x:v>S4</x:v>
      </x:c>
      <x:c r="C12" s="3" t="str">
        <x:v>pathway</x:v>
      </x:c>
      <x:c r="D12" s="3" t="str">
        <x:v>0-1</x:v>
      </x:c>
      <x:c r="E12" s="3" t="str">
        <x:v>Specify new switchyard/connection works versus reused infrastructure before assigning a dominant physical floor; jurisdictional queues remain outside S4.</x:v>
      </x:c>
      <x:c r="F12" s="3" t="str">
        <x:v>Target-only fusion sources contain no observed export/connection sequence. STEP's failed-refresh restriction is retained and its current target wording is not used as support.</x:v>
      </x:c>
      <x:c r="G12" s="3" t="str">
        <x:v>missing</x:v>
      </x:c>
    </x:row>
  </x:sheetData>
  <x:mergeCells>
    <x:mergeCell ref="A1:D1"/>
    <x:mergeCell ref="A2:D2"/>
  </x:mergeCells>
  <x:pageMargins left="0.7" right="0.7" top="0.75" bottom="0.75" header="0.3" footer="0.3"/>
  <x:tableParts count="1">
    <x:tablePart xmlns:r="http://schemas.openxmlformats.org/officeDocument/2006/relationships" r:id="Re686feb0cd38496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9" hidden="0" customWidth="1"/>
    <x:col min="4" max="4" width="30" hidden="0" customWidth="1"/>
    <x:col min="5" max="5" width="26" hidden="0" customWidth="1"/>
    <x:col min="6" max="6" width="100" hidden="0" customWidth="1"/>
    <x:col min="7" max="7" width="108" hidden="0" customWidth="1"/>
    <x:col min="8" max="8" width="90" hidden="0" customWidth="1"/>
    <x:col min="9" max="9" width="38" hidden="0" customWidth="1"/>
  </x:cols>
  <x:sheetData>
    <x:row r="1" ht="54" customHeight="1">
      <x:c r="A1" s="5" t="str">
        <x:v>Owner exceptions</x:v>
      </x:c>
      <x:c r="B1" s="5"/>
      <x:c r="C1" s="5"/>
      <x:c r="D1" s="5"/>
      <x:c r="E1" s="5"/>
      <x:c r="F1" s="5"/>
      <x:c r="G1" s="5"/>
      <x:c r="H1" s="5"/>
      <x:c r="I1" s="5"/>
    </x:row>
    <x:row r="2" ht="43" customHeight="1">
      <x:c r="A2" s="6" t="str">
        <x:v>AI-assisted · recommendation only. Details extend to the right.</x:v>
      </x:c>
      <x:c r="B2" s="6"/>
      <x:c r="C2" s="6"/>
      <x:c r="D2" s="6"/>
      <x:c r="E2" s="6"/>
      <x:c r="F2" s="6"/>
      <x:c r="G2" s="6"/>
      <x:c r="H2" s="6"/>
      <x:c r="I2" s="6"/>
    </x:row>
    <x:row r="3">
      <x:c r="A3" s="3"/>
      <x:c r="B3" s="3"/>
      <x:c r="C3" s="3"/>
      <x:c r="D3" s="3"/>
      <x:c r="E3" s="3"/>
      <x:c r="F3" s="3"/>
      <x:c r="G3" s="3"/>
      <x:c r="H3" s="3"/>
      <x:c r="I3" s="3"/>
    </x:row>
    <x:row r="4" ht="43" customHeight="1">
      <x:c r="A4" s="8" t="str">
        <x:v>Profile ID</x:v>
      </x:c>
      <x:c r="B4" s="8" t="str">
        <x:v>Dimension</x:v>
      </x:c>
      <x:c r="C4" s="8" t="str">
        <x:v>Recommended interval</x:v>
      </x:c>
      <x:c r="D4" s="8" t="str">
        <x:v>Disposition</x:v>
      </x:c>
      <x:c r="E4" s="8" t="str">
        <x:v>Preserved owner disposition</x:v>
      </x:c>
      <x:c r="F4" s="8" t="str">
        <x:v>Owner rationale (verbatim)</x:v>
      </x:c>
      <x:c r="G4" s="8" t="str">
        <x:v>Question / action</x:v>
      </x:c>
      <x:c r="H4" s="8" t="str">
        <x:v>Reason</x:v>
      </x:c>
      <x:c r="I4" s="8" t="str">
        <x:v>Canonical source IDs</x:v>
      </x:c>
    </x:row>
    <x:row r="5" ht="44" customHeight="1">
      <x:c r="A5" s="9" t="str">
        <x:v>sp-0015</x:v>
      </x:c>
      <x:c r="B5" s="9" t="str">
        <x:v>S5</x:v>
      </x:c>
      <x:c r="C5" s="9" t="str">
        <x:v>3</x:v>
      </x:c>
      <x:c r="D5" s="9" t="str">
        <x:v>recommends_value_change</x:v>
      </x:c>
      <x:c r="E5" s="9" t="str">
        <x:v>missing</x:v>
      </x:c>
      <x:c r="F5" s="9" t="str">
        <x:v>No owner decision recorded.</x:v>
      </x:c>
      <x:c r="G5" s="9" t="str">
        <x:v>Verify the independent model validation and experiment-release gates for the intended use.</x:v>
      </x:c>
      <x:c r="H5" s="9" t="str">
        <x:v>Prefer 3 over seed 4 under the bounded escaped-output rule; this is a later S5 recommendation only.</x:v>
      </x:c>
      <x:c r="I5" s="9" t="str">
        <x:v>fusion-src-022;fusion-src-023</x:v>
      </x:c>
    </x:row>
    <x:row r="6" ht="76" customHeight="1">
      <x:c r="A6" s="3" t="str">
        <x:v>sp-0016</x:v>
      </x:c>
      <x:c r="B6" s="3" t="str">
        <x:v>S2</x:v>
      </x:c>
      <x:c r="C6" s="3" t="str">
        <x:v>1-2</x:v>
      </x:c>
      <x:c r="D6" s="3" t="str">
        <x:v>requires_human_expert</x:v>
      </x:c>
      <x:c r="E6" s="3" t="str">
        <x:v>prefer_seed</x:v>
      </x:c>
      <x:c r="F6" s="3" t="str">
        <x:v>Select S2=1. The document or schedule can be revised quickly, but the ordinary feedback that reveals whether experiment selection was sound depends on scarce device campaigns and can take many months. This is slower than the weeks-to-months midpoint without being intrinsically decade-scale.</x:v>
      </x:c>
      <x:c r="G6" s="3" t="str">
        <x:v>For a representative pilot-relevant tokamak campaign, what is the ordinary selection-to-result-to-revision loop, and does the documented cadence support 1 or 2?</x:v>
      </x:c>
      <x:c r="H6" s="3" t="str">
        <x:v>Recommend 1-2 for later adjudication while asking a campaign specialist to identify the ordinary loop.</x:v>
      </x:c>
      <x:c r="I6" s="3" t="str">
        <x:v>fusion-src-018;fusion-src-019;fusion-src-024</x:v>
      </x:c>
    </x:row>
    <x:row r="7" ht="44" customHeight="1">
      <x:c r="A7" s="9" t="str">
        <x:v>sp-0018</x:v>
      </x:c>
      <x:c r="B7" s="9" t="str">
        <x:v>S5</x:v>
      </x:c>
      <x:c r="C7" s="9" t="str">
        <x:v>0-1</x:v>
      </x:c>
      <x:c r="D7" s="9" t="str">
        <x:v>requires_human_expert</x:v>
      </x:c>
      <x:c r="E7" s="9" t="str">
        <x:v>missing</x:v>
      </x:c>
      <x:c r="F7" s="9" t="str">
        <x:v>No owner decision recorded.</x:v>
      </x:c>
      <x:c r="G7" s="9" t="str">
        <x:v>At the pilot-relevant stored-energy and disruption envelope, what damage can an erroneous control output cause before independently verified machine protection acts?</x:v>
      </x:c>
      <x:c r="H7" s="9" t="str">
        <x:v>Keep 1 as plausible for bounded research-device harm, but retain 0 as a severe direct-consequence possibility pending protection review.</x:v>
      </x:c>
      <x:c r="I7" s="9" t="str">
        <x:v>fusion-src-018;fusion-src-008;fusion-src-020</x:v>
      </x:c>
    </x:row>
    <x:row r="8" ht="44" customHeight="1">
      <x:c r="A8" s="3" t="str">
        <x:v>sp-0020</x:v>
      </x:c>
      <x:c r="B8" s="3" t="str">
        <x:v>S1</x:v>
      </x:c>
      <x:c r="C8" s="3" t="str">
        <x:v>0</x:v>
      </x:c>
      <x:c r="D8" s="3" t="str">
        <x:v>recommends_value_change</x:v>
      </x:c>
      <x:c r="E8" s="3" t="str">
        <x:v>missing</x:v>
      </x:c>
      <x:c r="F8" s="3" t="str">
        <x:v>No owner decision recorded.</x:v>
      </x:c>
      <x:c r="G8" s="3" t="str">
        <x:v>Revisit if an accepted qualification route can materially replace representative exposure with validated analytical evidence.</x:v>
      </x:c>
      <x:c r="H8" s="3" t="str">
        <x:v>Prefer independent 0 over seed 1 because the rubric says primarily physical, not exclusively physical.</x:v>
      </x:c>
      <x:c r="I8" s="3" t="str">
        <x:v>fusion-src-045;fusion-src-046</x:v>
      </x:c>
    </x:row>
    <x:row r="9" ht="60" customHeight="1">
      <x:c r="A9" s="9" t="str">
        <x:v>sp-0020</x:v>
      </x:c>
      <x:c r="B9" s="9" t="str">
        <x:v>S2</x:v>
      </x:c>
      <x:c r="C9" s="9" t="str">
        <x:v>0</x:v>
      </x:c>
      <x:c r="D9" s="9" t="str">
        <x:v>supports_current_record</x:v>
      </x:c>
      <x:c r="E9" s="9" t="str">
        <x:v>needs_better_evidence</x:v>
      </x:c>
      <x:c r="F9" s="9" t="str">
        <x:v>Retain provisional S2=0 because both coders agree and the fusion evidence base points to multi-year irradiation and post-irradiation examination. Do not promote the value until qualification-facility and exposure-time sources are verified and assigned canonical source IDs.</x:v>
      </x:c>
      <x:c r="G9" s="9" t="str">
        <x:v>Completion of representative irradiation and examination with a documented acceptance route, or a validated alternative qualification protocol.</x:v>
      </x:c>
      <x:c r="H9" s="9" t="str">
        <x:v>Support the owner provisional 0 on improved source identity and technical grounds; completed accepted qualification remains missing.</x:v>
      </x:c>
      <x:c r="I9" s="9" t="str">
        <x:v>fusion-src-045;fusion-src-046</x:v>
      </x:c>
    </x:row>
    <x:row r="10" ht="44" customHeight="1">
      <x:c r="A10" s="3" t="str">
        <x:v>sp-0020</x:v>
      </x:c>
      <x:c r="B10" s="3" t="str">
        <x:v>S3</x:v>
      </x:c>
      <x:c r="C10" s="3" t="str">
        <x:v>0-1</x:v>
      </x:c>
      <x:c r="D10" s="3" t="str">
        <x:v>requires_pathway_variant</x:v>
      </x:c>
      <x:c r="E10" s="3" t="str">
        <x:v>missing</x:v>
      </x:c>
      <x:c r="F10" s="3" t="str">
        <x:v>No owner decision recorded.</x:v>
      </x:c>
      <x:c r="G10" s="3" t="str">
        <x:v>Which material and pilot load envelope can the planned IFMIF-DONES specimen matrix represent, and how do spectrum/transmutation mismatch and accepted examinations limit useful parallel throughput?</x:v>
      </x:c>
      <x:c r="H10" s="3" t="str">
        <x:v>Preserve 0-1 and route by material/load-envelope qualification pathway rather than claiming zero parallelism.</x:v>
      </x:c>
      <x:c r="I10" s="3" t="str">
        <x:v>fusion-src-045;fusion-src-046</x:v>
      </x:c>
    </x:row>
    <x:row r="11" ht="60" customHeight="1">
      <x:c r="A11" s="9" t="str">
        <x:v>sp-0020</x:v>
      </x:c>
      <x:c r="B11" s="9" t="str">
        <x:v>S4</x:v>
      </x:c>
      <x:c r="C11" s="9" t="str">
        <x:v>0</x:v>
      </x:c>
      <x:c r="D11" s="9" t="str">
        <x:v>supports_current_record</x:v>
      </x:c>
      <x:c r="E11" s="9" t="str">
        <x:v>needs_better_evidence</x:v>
      </x:c>
      <x:c r="F11" s="9" t="str">
        <x:v>Retain provisional S4=0 because neutron exposure, damage accumulation, cooling and post-irradiation examination are genuine physical time floors. The value is substantively well supported but cannot advance while the row has no canonical source IDs.</x:v>
      </x:c>
      <x:c r="G11" s="9" t="str">
        <x:v>A validated acceleration/qualification equivalence or accepted exposure-plus-examination dataset for the specified material.</x:v>
      </x:c>
      <x:c r="H11" s="9" t="str">
        <x:v>Support owner provisional 0 while preserving the missing accepted dataset.</x:v>
      </x:c>
      <x:c r="I11" s="9" t="str">
        <x:v>fusion-src-045;fusion-src-046;fusion-src-026</x:v>
      </x:c>
    </x:row>
    <x:row r="12" ht="44" customHeight="1">
      <x:c r="A12" s="3" t="str">
        <x:v>sp-0020</x:v>
      </x:c>
      <x:c r="B12" s="3" t="str">
        <x:v>S5</x:v>
      </x:c>
      <x:c r="C12" s="3" t="str">
        <x:v>0-1</x:v>
      </x:c>
      <x:c r="D12" s="3" t="str">
        <x:v>requires_human_expert</x:v>
      </x:c>
      <x:c r="E12" s="3" t="str">
        <x:v>missing</x:v>
      </x:c>
      <x:c r="F12" s="3" t="str">
        <x:v>No owner decision recorded.</x:v>
      </x:c>
      <x:c r="G12" s="3" t="str">
        <x:v>Which losses from an invalid irradiation or examination programme are irreversible before independent component/material acceptance, and what qualification claims can escape that boundary?</x:v>
      </x:c>
      <x:c r="H12" s="3" t="str">
        <x:v>A bounded 0-1 requires a qualification specialist to distinguish direct irreversible evidence loss from later independent acceptance failures.</x:v>
      </x:c>
      <x:c r="I12" s="3" t="str">
        <x:v>fusion-src-045;fusion-src-046</x:v>
      </x:c>
    </x:row>
    <x:row r="13" ht="44" customHeight="1">
      <x:c r="A13" s="9" t="str">
        <x:v>sp-0021</x:v>
      </x:c>
      <x:c r="B13" s="9" t="str">
        <x:v>S2</x:v>
      </x:c>
      <x:c r="C13" s="9" t="str">
        <x:v>1-2</x:v>
      </x:c>
      <x:c r="D13" s="9" t="str">
        <x:v>requires_pathway_variant</x:v>
      </x:c>
      <x:c r="E13" s="9" t="str">
        <x:v>missing</x:v>
      </x:c>
      <x:c r="F13" s="9" t="str">
        <x:v>No owner decision recorded.</x:v>
      </x:c>
      <x:c r="G13" s="9" t="str">
        <x:v>Separate HTS/LTS conductor and coil test-scale variants when the ordinary prototype learning loop differs; HH70 is not a generic high-field timing baseline.</x:v>
      </x:c>
      <x:c r="H13" s="9" t="str">
        <x:v>Route 1-2 by magnet technology and test scale instead of treating the shared 1 as measured.</x:v>
      </x:c>
      <x:c r="I13" s="9" t="str">
        <x:v>fusion-src-014;fusion-src-012</x:v>
      </x:c>
    </x:row>
    <x:row r="14" ht="44" customHeight="1">
      <x:c r="A14" s="3" t="str">
        <x:v>sp-0022</x:v>
      </x:c>
      <x:c r="B14" s="3" t="str">
        <x:v>S2</x:v>
      </x:c>
      <x:c r="C14" s="3" t="str">
        <x:v>1-2</x:v>
      </x:c>
      <x:c r="D14" s="3" t="str">
        <x:v>requires_pathway_variant</x:v>
      </x:c>
      <x:c r="E14" s="3" t="str">
        <x:v>missing</x:v>
      </x:c>
      <x:c r="F14" s="3" t="str">
        <x:v>No owner decision recorded.</x:v>
      </x:c>
      <x:c r="G14" s="3" t="str">
        <x:v>Distinguish RF-source/launcher and neutral-beam development loops where prototype and conditioning requirements differ.</x:v>
      </x:c>
      <x:c r="H14" s="3" t="str">
        <x:v>Preserve 1-2 and request a route-specific cycle rather than selecting from adjacent project durations.</x:v>
      </x:c>
      <x:c r="I14" s="3" t="str">
        <x:v>fusion-src-029;fusion-src-034</x:v>
      </x:c>
    </x:row>
    <x:row r="15" ht="44" customHeight="1">
      <x:c r="A15" s="9" t="str">
        <x:v>sp-0023</x:v>
      </x:c>
      <x:c r="B15" s="9" t="str">
        <x:v>S4</x:v>
      </x:c>
      <x:c r="C15" s="9" t="str">
        <x:v>0-1</x:v>
      </x:c>
      <x:c r="D15" s="9" t="str">
        <x:v>requires_human_expert</x:v>
      </x:c>
      <x:c r="E15" s="9" t="str">
        <x:v>missing</x:v>
      </x:c>
      <x:c r="F15" s="9" t="str">
        <x:v>No owner decision recorded.</x:v>
      </x:c>
      <x:c r="G15" s="9" t="str">
        <x:v>Which neutron, heat-flux, thermal-cycling, erosion and maintainability exposures must occur inside the frozen PFC development stage, and can sequential tests represent their combined effects?</x:v>
      </x:c>
      <x:c r="H15" s="9" t="str">
        <x:v>A specialist must establish which physical floors belong inside pre-integration development before narrowing 0-1.</x:v>
      </x:c>
      <x:c r="I15" s="9" t="str">
        <x:v>fusion-src-026;fusion-src-045</x:v>
      </x:c>
    </x:row>
    <x:row r="16" ht="44" customHeight="1">
      <x:c r="A16" s="3" t="str">
        <x:v>sp-0023</x:v>
      </x:c>
      <x:c r="B16" s="3" t="str">
        <x:v>S5</x:v>
      </x:c>
      <x:c r="C16" s="3" t="str">
        <x:v>1-2</x:v>
      </x:c>
      <x:c r="D16" s="3" t="str">
        <x:v>requires_human_expert</x:v>
      </x:c>
      <x:c r="E16" s="3" t="str">
        <x:v>missing</x:v>
      </x:c>
      <x:c r="F16" s="3" t="str">
        <x:v>No owner decision recorded.</x:v>
      </x:c>
      <x:c r="G16" s="3" t="str">
        <x:v>What can an erroneous PFC development test or acceptance claim damage before the next independent acceptance/protection boundary, excluding failures discovered by a correctly conducted test?</x:v>
      </x:c>
      <x:c r="H16" s="3" t="str">
        <x:v>Preserve 1-2; the seed excludes all escaped harm, while the independent rationale may import later plasma operation.</x:v>
      </x:c>
      <x:c r="I16" s="3" t="str">
        <x:v>fusion-src-026</x:v>
      </x:c>
    </x:row>
    <x:row r="17" ht="44" customHeight="1">
      <x:c r="A17" s="9" t="str">
        <x:v>sp-0024</x:v>
      </x:c>
      <x:c r="B17" s="9" t="str">
        <x:v>S4</x:v>
      </x:c>
      <x:c r="C17" s="9" t="str">
        <x:v>1-2</x:v>
      </x:c>
      <x:c r="D17" s="9" t="str">
        <x:v>requires_human_expert</x:v>
      </x:c>
      <x:c r="E17" s="9" t="str">
        <x:v>missing</x:v>
      </x:c>
      <x:c r="F17" s="9" t="str">
        <x:v>No owner decision recorded.</x:v>
      </x:c>
      <x:c r="G17" s="9" t="str">
        <x:v>For the intended fuel-cycle subsystem tests, which retention, permeation, equilibration or residence processes impose irreducible duration, separately from authorization and facility-access delays?</x:v>
      </x:c>
      <x:c r="H17" s="9" t="str">
        <x:v>1-2 requires a fuel-cycle specialist to separate intrinsic processes from access delay and later integrated operation.</x:v>
      </x:c>
      <x:c r="I17" s="9" t="str">
        <x:v>fusion-src-038;fusion-src-028</x:v>
      </x:c>
    </x:row>
    <x:row r="18" ht="76" customHeight="1">
      <x:c r="A18" s="3" t="str">
        <x:v>sp-0024</x:v>
      </x:c>
      <x:c r="B18" s="3" t="str">
        <x:v>S5</x:v>
      </x:c>
      <x:c r="C18" s="3" t="str">
        <x:v>1</x:v>
      </x:c>
      <x:c r="D18" s="3" t="str">
        <x:v>requires_human_expert</x:v>
      </x:c>
      <x:c r="E18" s="3" t="str">
        <x:v>prefer_seed</x:v>
      </x:c>
      <x:c r="F18" s="3" t="str">
        <x:v>Select S5=1. Tritium-accountancy, containment or release errors can have serious radiological and regulatory consequences, but development-stage work is conducted through layered containment and many errors remain detectable and recoverable. S5=0 overgeneralizes the worst case to every error.</x:v>
      </x:c>
      <x:c r="G18" s="3" t="str">
        <x:v>What tritium inventory loss or release is reasonably foreseeable before independently verified secondary confinement and accountancy controls act in this development scope?</x:v>
      </x:c>
      <x:c r="H18" s="3" t="str">
        <x:v>Owner 1 is technically plausible but needs a named specialist to substantiate the boundary before approval.</x:v>
      </x:c>
      <x:c r="I18" s="3" t="str">
        <x:v>fusion-src-038;fusion-src-028</x:v>
      </x:c>
    </x:row>
    <x:row r="19" ht="60" customHeight="1">
      <x:c r="A19" s="9" t="str">
        <x:v>sp-0025</x:v>
      </x:c>
      <x:c r="B19" s="9" t="str">
        <x:v>S2</x:v>
      </x:c>
      <x:c r="C19" s="9" t="str">
        <x:v>0-1</x:v>
      </x:c>
      <x:c r="D19" s="9" t="str">
        <x:v>requires_human_expert</x:v>
      </x:c>
      <x:c r="E19" s="9" t="str">
        <x:v>prefer_seed</x:v>
      </x:c>
      <x:c r="F19" s="9" t="str">
        <x:v>Select S2=0. The decision-relevant loop is integrated blanket and tritium-breeding validation in a fusion-relevant neutron environment. That loop is measured in years and is not yet available at power-plant scale; faster analysis and subcomponent tests do not close it.</x:v>
      </x:c>
      <x:c r="G19" s="9" t="str">
        <x:v>For the specified blanket concept, does each decision-relevant development revision require integrated fusion-environment validation, or can representative subcomponent tests close an ordinary revision?</x:v>
      </x:c>
      <x:c r="H19" s="9" t="str">
        <x:v>Preserve owner 0 and recommend 0-1 pending a named specialist's definition of the decisive development test.</x:v>
      </x:c>
      <x:c r="I19" s="9" t="str">
        <x:v>fusion-src-038;fusion-src-028</x:v>
      </x:c>
    </x:row>
    <x:row r="20" ht="44" customHeight="1">
      <x:c r="A20" s="3" t="str">
        <x:v>sp-0025</x:v>
      </x:c>
      <x:c r="B20" s="3" t="str">
        <x:v>S4</x:v>
      </x:c>
      <x:c r="C20" s="3" t="str">
        <x:v>0-1</x:v>
      </x:c>
      <x:c r="D20" s="3" t="str">
        <x:v>requires_pathway_variant</x:v>
      </x:c>
      <x:c r="E20" s="3" t="str">
        <x:v>missing</x:v>
      </x:c>
      <x:c r="F20" s="3" t="str">
        <x:v>No owner decision recorded.</x:v>
      </x:c>
      <x:c r="G20" s="3" t="str">
        <x:v>Separate blanket concept and coolant/breeder test routes if they require materially different exposure, conditioning or representative integrated tests.</x:v>
      </x:c>
      <x:c r="H20" s="3" t="str">
        <x:v>0-1 should be scoped by blanket concept rather than inherited from one generic unavailable test environment.</x:v>
      </x:c>
      <x:c r="I20" s="3" t="str">
        <x:v>fusion-src-038;fusion-src-045</x:v>
      </x:c>
    </x:row>
    <x:row r="21" ht="76" customHeight="1">
      <x:c r="A21" s="9" t="str">
        <x:v>sp-0025</x:v>
      </x:c>
      <x:c r="B21" s="9" t="str">
        <x:v>S5</x:v>
      </x:c>
      <x:c r="C21" s="9" t="str">
        <x:v>1</x:v>
      </x:c>
      <x:c r="D21" s="9" t="str">
        <x:v>requires_human_expert</x:v>
      </x:c>
      <x:c r="E21" s="9" t="str">
        <x:v>prefer_seed</x:v>
      </x:c>
      <x:c r="F21" s="9" t="str">
        <x:v>Select S5=1. Blanket errors can affect heat removal, tritium functions and radiological safety, but the scoped stage is design, testing and pre-integration, where staged experiments and review contain many failures. The consequences are very serious without making every error catastrophic or irreversible.</x:v>
      </x:c>
      <x:c r="G21" s="9" t="str">
        <x:v>For that blanket concept, which erroneous development outputs can cause direct chemical, radiological or equipment harm before independent test isolation and integration acceptance?</x:v>
      </x:c>
      <x:c r="H21" s="9" t="str">
        <x:v>Support owner 1 as a provisional recommendation with a specialist gate, not automatic worst-case 0.</x:v>
      </x:c>
      <x:c r="I21" s="9" t="str">
        <x:v>fusion-src-038;fusion-src-028</x:v>
      </x:c>
    </x:row>
    <x:row r="22" ht="44" customHeight="1">
      <x:c r="A22" s="3" t="str">
        <x:v>sp-0026</x:v>
      </x:c>
      <x:c r="B22" s="3" t="str">
        <x:v>S1</x:v>
      </x:c>
      <x:c r="C22" s="3" t="str">
        <x:v>0</x:v>
      </x:c>
      <x:c r="D22" s="3" t="str">
        <x:v>recommends_value_change</x:v>
      </x:c>
      <x:c r="E22" s="3" t="str">
        <x:v>missing</x:v>
      </x:c>
      <x:c r="F22" s="3" t="str">
        <x:v>No owner decision recorded.</x:v>
      </x:c>
      <x:c r="G22" s="3" t="str">
        <x:v>Revisit if the frozen scope changes from fabrication to process design or an evidence-backed route changes how production occurs.</x:v>
      </x:c>
      <x:c r="H22" s="3" t="str">
        <x:v>Prefer independent 0 over seed 1 under the rubric's primarily physical definition.</x:v>
      </x:c>
      <x:c r="I22" s="3" t="str">
        <x:v>fusion-src-014;fusion-src-037</x:v>
      </x:c>
    </x:row>
    <x:row r="23" ht="76" customHeight="1">
      <x:c r="A23" s="9" t="str">
        <x:v>sp-0028</x:v>
      </x:c>
      <x:c r="B23" s="9" t="str">
        <x:v>S5</x:v>
      </x:c>
      <x:c r="C23" s="9" t="str">
        <x:v>1</x:v>
      </x:c>
      <x:c r="D23" s="9" t="str">
        <x:v>requires_human_expert</x:v>
      </x:c>
      <x:c r="E23" s="9" t="str">
        <x:v>prefer_seed</x:v>
      </x:c>
      <x:c r="F23" s="9" t="str">
        <x:v>Select S5=1. Commissioning mistakes can damage unique installed hardware and create serious hazards, yet commissioning is deliberately staged, interlocked and reversible where practicable. The stage is low-tolerance, but S5=0 treats the severe tail as the ordinary error consequence.</x:v>
      </x:c>
      <x:c r="G23" s="9" t="str">
        <x:v>During pilot nuclear/tritium commissioning, what direct harm from an erroneous startup or interface check can occur before independently verified interlocks and readiness hold points act?</x:v>
      </x:c>
      <x:c r="H23" s="9" t="str">
        <x:v>Support owner 1 provisionally; obtain named expertise before canonical/public approval of this boundary.</x:v>
      </x:c>
      <x:c r="I23" s="9" t="str">
        <x:v>fusion-src-033;fusion-src-034;fusion-src-036</x:v>
      </x:c>
    </x:row>
    <x:row r="24" ht="44" customHeight="1">
      <x:c r="A24" s="3" t="str">
        <x:v>sp-0029</x:v>
      </x:c>
      <x:c r="B24" s="3" t="str">
        <x:v>S2</x:v>
      </x:c>
      <x:c r="C24" s="3" t="str">
        <x:v>0-1</x:v>
      </x:c>
      <x:c r="D24" s="3" t="str">
        <x:v>requires_human_expert</x:v>
      </x:c>
      <x:c r="E24" s="3" t="str">
        <x:v>missing</x:v>
      </x:c>
      <x:c r="F24" s="3" t="str">
        <x:v>No owner decision recorded.</x:v>
      </x:c>
      <x:c r="G24" s="3" t="str">
        <x:v>What specific pilot reliability or availability claim, exposure requirement and failure/repair criterion defines completion, and what ordinary learn-demonstrate-revise interval follows?</x:v>
      </x:c>
      <x:c r="H24" s="3" t="str">
        <x:v>Keep a slow 0-1 candidate interval but do not assume the shared 0 proves a years-long statistical target.</x:v>
      </x:c>
      <x:c r="I24" s="3" t="str">
        <x:v>fusion-src-011;fusion-src-032</x:v>
      </x:c>
    </x:row>
    <x:row r="25" ht="76" customHeight="1">
      <x:c r="A25" s="9" t="str">
        <x:v>sp-0029</x:v>
      </x:c>
      <x:c r="B25" s="9" t="str">
        <x:v>S5</x:v>
      </x:c>
      <x:c r="C25" s="9" t="str">
        <x:v>1</x:v>
      </x:c>
      <x:c r="D25" s="9" t="str">
        <x:v>requires_human_expert</x:v>
      </x:c>
      <x:c r="E25" s="9" t="str">
        <x:v>prefer_seed</x:v>
      </x:c>
      <x:c r="F25" s="9" t="str">
        <x:v>Select S5=1. Component failures are the phenomenon reliability demonstration is designed to reveal and should not automatically be treated as errors by the stage. Errors in test conduct or inference can still waste irreplaceable operating time, so the stage remains low-tolerance rather than catastrophic by definition.</x:v>
      </x:c>
      <x:c r="G25" s="9" t="str">
        <x:v>Which errors in reliability-test conduct or inference can escape to cause harm before independent machine protection and readiness acceptance, distinct from component failures the test is meant to reveal?</x:v>
      </x:c>
      <x:c r="H25" s="9" t="str">
        <x:v>Support owner 1 provisionally with an explicit distinction between informative failure and erroneous assurance.</x:v>
      </x:c>
      <x:c r="I25" s="9" t="str">
        <x:v>missing</x:v>
      </x:c>
    </x:row>
    <x:row r="26" ht="76" customHeight="1">
      <x:c r="A26" s="3" t="str">
        <x:v>sp-0030</x:v>
      </x:c>
      <x:c r="B26" s="3" t="str">
        <x:v>S2</x:v>
      </x:c>
      <x:c r="C26" s="3" t="str">
        <x:v>0-1</x:v>
      </x:c>
      <x:c r="D26" s="3" t="str">
        <x:v>requires_jurisdiction_variant</x:v>
      </x:c>
      <x:c r="E26" s="3" t="str">
        <x:v>needs_domain_review</x:v>
      </x:c>
      <x:c r="F26" s="3" t="str">
        <x:v>Do not select 0 or 1 yet. Licensing feedback speed is jurisdiction- and pathway-dependent, and the frozen row names no jurisdiction. A fusion-regulatory reviewer should determine whether a shared profile is defensible or whether U.S., Chinese and other licensing variants are required.</x:v>
      </x:c>
      <x:c r="G26" s="3" t="str">
        <x:v>Which jurisdiction-specific application, review and response stages define the ordinary fusion pilot licensing loop, and is any shared 0-1 recommendation defensible without a completed comparable case?</x:v>
      </x:c>
      <x:c r="H26" s="3" t="str">
        <x:v>Carry 0-1 as an unadjudicated candidate range, not an empirical bound; do not select either owner-withheld value without a jurisdiction.</x:v>
      </x:c>
      <x:c r="I26" s="3" t="str">
        <x:v>fusion-src-039;fusion-src-040;fusion-src-004</x:v>
      </x:c>
    </x:row>
    <x:row r="27" ht="60" customHeight="1">
      <x:c r="A27" s="9" t="str">
        <x:v>sp-0030</x:v>
      </x:c>
      <x:c r="B27" s="9" t="str">
        <x:v>S3</x:v>
      </x:c>
      <x:c r="C27" s="9" t="str">
        <x:v>0-1</x:v>
      </x:c>
      <x:c r="D27" s="9" t="str">
        <x:v>requires_jurisdiction_variant</x:v>
      </x:c>
      <x:c r="E27" s="9" t="str">
        <x:v>needs_domain_review</x:v>
      </x:c>
      <x:c r="F27" s="9" t="str">
        <x:v>Do not select 0 or 1 yet. Application drafting can be parallel and repeatable, while formal review cycles are scarce and serial; the balance depends strongly on the licensing regime. Resolve together with the jurisdiction-specific licensing scope.</x:v>
      </x:c>
      <x:c r="G27" s="9" t="str">
        <x:v>For that licensing regime, what counts as a formal attempt, what does it cost, and which parts of application preparation and substantive review can proceed in parallel?</x:v>
      </x:c>
      <x:c r="H27" s="9" t="str">
        <x:v>Preserve 0-1 pending a jurisdiction-specific attempt definition, respecting the unresolved owner disposition.</x:v>
      </x:c>
      <x:c r="I27" s="9" t="str">
        <x:v>fusion-src-039;fusion-src-040;fusion-src-004</x:v>
      </x:c>
    </x:row>
    <x:row r="28" ht="76" customHeight="1">
      <x:c r="A28" s="3" t="str">
        <x:v>sp-0030</x:v>
      </x:c>
      <x:c r="B28" s="3" t="str">
        <x:v>S5</x:v>
      </x:c>
      <x:c r="C28" s="3" t="str">
        <x:v>0-2</x:v>
      </x:c>
      <x:c r="D28" s="3" t="str">
        <x:v>requires_human_expert</x:v>
      </x:c>
      <x:c r="E28" s="3" t="str">
        <x:v>preserve_disagreement</x:v>
      </x:c>
      <x:c r="F28" s="3" t="str">
        <x:v>Preserve the 0-2 disagreement pending the S5 clarification and regulatory domain review. An erroneous approval can have grave downstream consequences, so S5=2 is too permissive; however, harm also requires operation and additional conditions, so S5=0 is too absolute. A later adjudicated value may be 1, but it should not be manufactured from two model submissions.</x:v>
      </x:c>
      <x:c r="G28" s="3" t="str">
        <x:v>What direct consequence can an erroneous fusion pilot licence or safety-case acceptance cause before the next genuinely independent operating authorization or technical control in that jurisdiction?</x:v>
      </x:c>
      <x:c r="H28" s="3" t="str">
        <x:v>Preserve the owner's 0-2 disagreement; do not manufacture 1 from two model marks.</x:v>
      </x:c>
      <x:c r="I28" s="3" t="str">
        <x:v>fusion-src-039;fusion-src-040;fusion-src-004</x:v>
      </x:c>
    </x:row>
    <x:row r="29" ht="60" customHeight="1">
      <x:c r="A29" s="9" t="str">
        <x:v>sp-0031</x:v>
      </x:c>
      <x:c r="B29" s="9" t="str">
        <x:v>S3</x:v>
      </x:c>
      <x:c r="C29" s="9" t="str">
        <x:v>0-1</x:v>
      </x:c>
      <x:c r="D29" s="9" t="str">
        <x:v>requires_pathway_variant</x:v>
      </x:c>
      <x:c r="E29" s="9" t="str">
        <x:v>needs_better_evidence</x:v>
      </x:c>
      <x:c r="F29" s="9" t="str">
        <x:v>Preserve the 0-1 range. A pilot connection combines cheap study iterations with one scarce physical connection and energized test sequence. No directly comparable fusion-grid case exists, and site reuse, network strength and outage rules can change the topology.</x:v>
      </x:c>
      <x:c r="G29" s="9" t="str">
        <x:v>For a concrete pilot site, which connection assets are reused or new, and what are the marginal cost and attainable repetition of studies versus energized integrated tests?</x:v>
      </x:c>
      <x:c r="H29" s="9" t="str">
        <x:v>Preserve the owner-requested 0-1 interval and route greenfield versus reused-site connection scope.</x:v>
      </x:c>
      <x:c r="I29" s="9" t="str">
        <x:v>fusion-src-031</x:v>
      </x:c>
    </x:row>
    <x:row r="30" ht="60" customHeight="1">
      <x:c r="A30" s="3" t="str">
        <x:v>sp-0031</x:v>
      </x:c>
      <x:c r="B30" s="3" t="str">
        <x:v>S4</x:v>
      </x:c>
      <x:c r="C30" s="3" t="str">
        <x:v>0-1</x:v>
      </x:c>
      <x:c r="D30" s="3" t="str">
        <x:v>requires_pathway_variant</x:v>
      </x:c>
      <x:c r="E30" s="3" t="str">
        <x:v>needs_better_evidence</x:v>
      </x:c>
      <x:c r="F30" s="3" t="str">
        <x:v>Preserve the 0-1 range. Equipment delivery, switchyard work, outage windows and energization impose physical floors, but an existing power-plant site may reuse substantial infrastructure. The generic row is too underspecified for a single value without a site/pathway case.</x:v>
      </x:c>
      <x:c r="G30" s="3" t="str">
        <x:v>Which physical installation, connection and energization steps are unavoidable at that site, separately from equipment procurement queues, outage booking and regulatory waits?</x:v>
      </x:c>
      <x:c r="H30" s="3" t="str">
        <x:v>Preserve the owner 0-1 interval until the physical site/pathway topology is specified.</x:v>
      </x:c>
      <x:c r="I30" s="3" t="str">
        <x:v>missing</x:v>
      </x:c>
    </x:row>
    <x:row r="31" ht="76" customHeight="1">
      <x:c r="A31" s="9" t="str">
        <x:v>sp-0031</x:v>
      </x:c>
      <x:c r="B31" s="9" t="str">
        <x:v>S5</x:v>
      </x:c>
      <x:c r="C31" s="9" t="str">
        <x:v>1</x:v>
      </x:c>
      <x:c r="D31" s="9" t="str">
        <x:v>requires_human_expert</x:v>
      </x:c>
      <x:c r="E31" s="9" t="str">
        <x:v>prefer_seed</x:v>
      </x:c>
      <x:c r="F31" s="9" t="str">
        <x:v>Select S5=1. Protection or integration errors can damage equipment and disturb a shared network, but layered protection, staged energization and utility operating procedures normally limit the direct consequence. This is very low tolerance, not automatically catastrophic or irreversible.</x:v>
      </x:c>
      <x:c r="G31" s="9" t="str">
        <x:v>What direct equipment or network consequences can incorrect pilot protection or energization cause before independently coordinated utility and plant protection isolate the fault?</x:v>
      </x:c>
      <x:c r="H31" s="9" t="str">
        <x:v>Support owner 1 provisionally; the actual independent utility/plant boundary requires named review.</x:v>
      </x:c>
      <x:c r="I31" s="9" t="str">
        <x:v>fusion-src-031</x:v>
      </x:c>
    </x:row>
  </x:sheetData>
  <x:mergeCells>
    <x:mergeCell ref="A1:D1"/>
    <x:mergeCell ref="A2:D2"/>
  </x:mergeCells>
  <x:pageMargins left="0.7" right="0.7" top="0.75" bottom="0.75" header="0.3" footer="0.3"/>
  <x:tableParts count="1">
    <x:tablePart xmlns:r="http://schemas.openxmlformats.org/officeDocument/2006/relationships" r:id="R0b068e4665ab42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15" hidden="0" customWidth="1"/>
    <x:col min="4" max="4" width="97" hidden="0" customWidth="1"/>
    <x:col min="5" max="5" width="38" hidden="0" customWidth="1"/>
    <x:col min="6" max="6" width="75" hidden="0" customWidth="1"/>
    <x:col min="7" max="7" width="20" hidden="0" customWidth="1"/>
    <x:col min="8" max="8" width="30" hidden="0" customWidth="1"/>
  </x:cols>
  <x:sheetData>
    <x:row r="1" ht="54" customHeight="1">
      <x:c r="A1" s="5" t="str">
        <x:v>Human experts</x:v>
      </x:c>
      <x:c r="B1" s="5"/>
      <x:c r="C1" s="5"/>
      <x:c r="D1" s="5"/>
      <x:c r="E1" s="5"/>
      <x:c r="F1" s="5"/>
      <x:c r="G1" s="5"/>
      <x:c r="H1" s="5"/>
    </x:row>
    <x:row r="2" ht="43" customHeight="1">
      <x:c r="A2" s="6" t="str">
        <x:v>AI-assisted · recommendation only. Details extend to the right.</x:v>
      </x:c>
      <x:c r="B2" s="6"/>
      <x:c r="C2" s="6"/>
      <x:c r="D2" s="6"/>
      <x:c r="E2" s="6"/>
      <x:c r="F2" s="6"/>
      <x:c r="G2" s="6"/>
      <x:c r="H2" s="6"/>
    </x:row>
    <x:row r="3">
      <x:c r="A3" s="3"/>
      <x:c r="B3" s="3"/>
      <x:c r="C3" s="3"/>
      <x:c r="D3" s="3"/>
      <x:c r="E3" s="3"/>
      <x:c r="F3" s="3"/>
      <x:c r="G3" s="3"/>
      <x:c r="H3" s="3"/>
    </x:row>
    <x:row r="4" ht="43" customHeight="1">
      <x:c r="A4" s="8" t="str">
        <x:v>Profile ID</x:v>
      </x:c>
      <x:c r="B4" s="8" t="str">
        <x:v>Dimension</x:v>
      </x:c>
      <x:c r="C4" s="8" t="str">
        <x:v>Question for named specialist</x:v>
      </x:c>
      <x:c r="D4" s="8" t="str">
        <x:v>Why load-bearing</x:v>
      </x:c>
      <x:c r="E4" s="8" t="str">
        <x:v>Canonical source IDs</x:v>
      </x:c>
      <x:c r="F4" s="8" t="str">
        <x:v>Requested expertise</x:v>
      </x:c>
      <x:c r="G4" s="8" t="str">
        <x:v>Named reviewer</x:v>
      </x:c>
      <x:c r="H4" s="8" t="str">
        <x:v>Status</x:v>
      </x:c>
    </x:row>
    <x:row r="5" ht="44" customHeight="1">
      <x:c r="A5" s="9" t="str">
        <x:v>sp-0016</x:v>
      </x:c>
      <x:c r="B5" s="9" t="str">
        <x:v>S2</x:v>
      </x:c>
      <x:c r="C5" s="9" t="str">
        <x:v>For a representative pilot-relevant tokamak campaign, what is the ordinary selection-to-result-to-revision loop, and does the documented cadence support 1 or 2?</x:v>
      </x:c>
      <x:c r="D5" s="9" t="str">
        <x:v>The owner prefers 1, but adjacent control papers do not resolve the elapsed selection feedback or the missing AI effect.</x:v>
      </x:c>
      <x:c r="E5" s="9" t="str">
        <x:v>fusion-src-018;fusion-src-019;fusion-src-024</x:v>
      </x:c>
      <x:c r="F5" s="9" t="str">
        <x:v>Named tokamak experimental programme or campaign scientist</x:v>
      </x:c>
      <x:c r="G5" s="9" t="str">
        <x:v>missing</x:v>
      </x:c>
      <x:c r="H5" s="9" t="str">
        <x:v>pending_named_specialist</x:v>
      </x:c>
    </x:row>
    <x:row r="6" ht="44" customHeight="1">
      <x:c r="A6" s="3" t="str">
        <x:v>sp-0018</x:v>
      </x:c>
      <x:c r="B6" s="3" t="str">
        <x:v>S5</x:v>
      </x:c>
      <x:c r="C6" s="3" t="str">
        <x:v>At the pilot-relevant stored-energy and disruption envelope, what damage can an erroneous control output cause before independently verified machine protection acts?</x:v>
      </x:c>
      <x:c r="D6" s="3" t="str">
        <x:v>Small-device proof of concept cannot establish the consequence boundary or support a universal 1.</x:v>
      </x:c>
      <x:c r="E6" s="3" t="str">
        <x:v>fusion-src-018;fusion-src-008;fusion-src-020</x:v>
      </x:c>
      <x:c r="F6" s="3" t="str">
        <x:v>Named tokamak plasma-control and machine-protection engineer</x:v>
      </x:c>
      <x:c r="G6" s="3" t="str">
        <x:v>missing</x:v>
      </x:c>
      <x:c r="H6" s="3" t="str">
        <x:v>pending_named_specialist</x:v>
      </x:c>
    </x:row>
    <x:row r="7" ht="44" customHeight="1">
      <x:c r="A7" s="9" t="str">
        <x:v>sp-0020</x:v>
      </x:c>
      <x:c r="B7" s="9" t="str">
        <x:v>S3</x:v>
      </x:c>
      <x:c r="C7" s="9" t="str">
        <x:v>Which material and pilot load envelope can the planned IFMIF-DONES specimen matrix represent, and how do spectrum/transmutation mismatch and accepted examinations limit useful parallel throughput?</x:v>
      </x:c>
      <x:c r="D7" s="9" t="str">
        <x:v>Planned specimen capacity cannot be equated with accepted qualification throughput across materials.</x:v>
      </x:c>
      <x:c r="E7" s="9" t="str">
        <x:v>fusion-src-045;fusion-src-046</x:v>
      </x:c>
      <x:c r="F7" s="9" t="str">
        <x:v>Named fusion irradiation/materials-qualification specialist</x:v>
      </x:c>
      <x:c r="G7" s="9" t="str">
        <x:v>missing</x:v>
      </x:c>
      <x:c r="H7" s="9" t="str">
        <x:v>pending_named_specialist</x:v>
      </x:c>
    </x:row>
    <x:row r="8" ht="44" customHeight="1">
      <x:c r="A8" s="3" t="str">
        <x:v>sp-0020</x:v>
      </x:c>
      <x:c r="B8" s="3" t="str">
        <x:v>S5</x:v>
      </x:c>
      <x:c r="C8" s="3" t="str">
        <x:v>Which losses from an invalid irradiation or examination programme are irreversible before independent component/material acceptance, and what qualification claims can escape that boundary?</x:v>
      </x:c>
      <x:c r="D8" s="3" t="str">
        <x:v>The 0-1 disagreement depends on evidence loss and a real acceptance boundary, not a generic downstream accident.</x:v>
      </x:c>
      <x:c r="E8" s="3" t="str">
        <x:v>fusion-src-045;fusion-src-046</x:v>
      </x:c>
      <x:c r="F8" s="3" t="str">
        <x:v>Named fusion materials-qualification and assurance specialist</x:v>
      </x:c>
      <x:c r="G8" s="3" t="str">
        <x:v>missing</x:v>
      </x:c>
      <x:c r="H8" s="3" t="str">
        <x:v>pending_named_specialist</x:v>
      </x:c>
    </x:row>
    <x:row r="9" ht="44" customHeight="1">
      <x:c r="A9" s="9" t="str">
        <x:v>sp-0023</x:v>
      </x:c>
      <x:c r="B9" s="9" t="str">
        <x:v>S4</x:v>
      </x:c>
      <x:c r="C9" s="9" t="str">
        <x:v>Which neutron, heat-flux, thermal-cycling, erosion and maintainability exposures must occur inside the frozen PFC development stage, and can sequential tests represent their combined effects?</x:v>
      </x:c>
      <x:c r="D9" s="9" t="str">
        <x:v>The evidence cannot establish whether the dominant physical floor warrants 0 or 1, and formal qualification must remain a separate stage.</x:v>
      </x:c>
      <x:c r="E9" s="9" t="str">
        <x:v>fusion-src-026;fusion-src-045</x:v>
      </x:c>
      <x:c r="F9" s="9" t="str">
        <x:v>Named plasma-facing component and plasma-material interaction specialist</x:v>
      </x:c>
      <x:c r="G9" s="9" t="str">
        <x:v>missing</x:v>
      </x:c>
      <x:c r="H9" s="9" t="str">
        <x:v>pending_named_specialist</x:v>
      </x:c>
    </x:row>
    <x:row r="10" ht="44" customHeight="1">
      <x:c r="A10" s="3" t="str">
        <x:v>sp-0023</x:v>
      </x:c>
      <x:c r="B10" s="3" t="str">
        <x:v>S5</x:v>
      </x:c>
      <x:c r="C10" s="3" t="str">
        <x:v>What can an erroneous PFC development test or acceptance claim damage before the next independent acceptance/protection boundary, excluding failures discovered by a correctly conducted test?</x:v>
      </x:c>
      <x:c r="D10" s="3" t="str">
        <x:v>This determines whether 1 or 2 is justified without charging later operational failures to development.</x:v>
      </x:c>
      <x:c r="E10" s="3" t="str">
        <x:v>fusion-src-026</x:v>
      </x:c>
      <x:c r="F10" s="3" t="str">
        <x:v>Named PFC test/qualification assurance engineer</x:v>
      </x:c>
      <x:c r="G10" s="3" t="str">
        <x:v>missing</x:v>
      </x:c>
      <x:c r="H10" s="3" t="str">
        <x:v>pending_named_specialist</x:v>
      </x:c>
    </x:row>
    <x:row r="11" ht="44" customHeight="1">
      <x:c r="A11" s="9" t="str">
        <x:v>sp-0024</x:v>
      </x:c>
      <x:c r="B11" s="9" t="str">
        <x:v>S4</x:v>
      </x:c>
      <x:c r="C11" s="9" t="str">
        <x:v>For the intended fuel-cycle subsystem tests, which retention, permeation, equilibration or residence processes impose irreducible duration, separately from authorization and facility-access delays?</x:v>
      </x:c>
      <x:c r="D11" s="9" t="str">
        <x:v>Without this separation, institutional constraints are incorrectly counted as intrinsic S4 time floors.</x:v>
      </x:c>
      <x:c r="E11" s="9" t="str">
        <x:v>fusion-src-038;fusion-src-028</x:v>
      </x:c>
      <x:c r="F11" s="9" t="str">
        <x:v>Named tritium-processing and fuel-cycle engineer</x:v>
      </x:c>
      <x:c r="G11" s="9" t="str">
        <x:v>missing</x:v>
      </x:c>
      <x:c r="H11" s="9" t="str">
        <x:v>pending_named_specialist</x:v>
      </x:c>
    </x:row>
    <x:row r="12" ht="44" customHeight="1">
      <x:c r="A12" s="3" t="str">
        <x:v>sp-0024</x:v>
      </x:c>
      <x:c r="B12" s="3" t="str">
        <x:v>S5</x:v>
      </x:c>
      <x:c r="C12" s="3" t="str">
        <x:v>What tritium inventory loss or release is reasonably foreseeable before independently verified secondary confinement and accountancy controls act in this development scope?</x:v>
      </x:c>
      <x:c r="D12" s="3" t="str">
        <x:v>The owner preference of 1 cannot become an approved consequence judgment without a specific inventory and independent boundary.</x:v>
      </x:c>
      <x:c r="E12" s="3" t="str">
        <x:v>fusion-src-038;fusion-src-028</x:v>
      </x:c>
      <x:c r="F12" s="3" t="str">
        <x:v>Named tritium confinement, accountancy and radiological-safety specialist</x:v>
      </x:c>
      <x:c r="G12" s="3" t="str">
        <x:v>missing</x:v>
      </x:c>
      <x:c r="H12" s="3" t="str">
        <x:v>pending_named_specialist</x:v>
      </x:c>
    </x:row>
    <x:row r="13" ht="44" customHeight="1">
      <x:c r="A13" s="9" t="str">
        <x:v>sp-0025</x:v>
      </x:c>
      <x:c r="B13" s="9" t="str">
        <x:v>S2</x:v>
      </x:c>
      <x:c r="C13" s="9" t="str">
        <x:v>For the specified blanket concept, does each decision-relevant development revision require integrated fusion-environment validation, or can representative subcomponent tests close an ordinary revision?</x:v>
      </x:c>
      <x:c r="D13" s="9" t="str">
        <x:v>This tests the owner's 0 preference against the frozen development scope without calling future TBM operation completed qualification.</x:v>
      </x:c>
      <x:c r="E13" s="9" t="str">
        <x:v>fusion-src-038;fusion-src-028</x:v>
      </x:c>
      <x:c r="F13" s="9" t="str">
        <x:v>Named blanket systems and breeding-validation specialist</x:v>
      </x:c>
      <x:c r="G13" s="9" t="str">
        <x:v>missing</x:v>
      </x:c>
      <x:c r="H13" s="9" t="str">
        <x:v>pending_named_specialist</x:v>
      </x:c>
    </x:row>
    <x:row r="14" ht="44" customHeight="1">
      <x:c r="A14" s="3" t="str">
        <x:v>sp-0025</x:v>
      </x:c>
      <x:c r="B14" s="3" t="str">
        <x:v>S5</x:v>
      </x:c>
      <x:c r="C14" s="3" t="str">
        <x:v>For that blanket concept, which erroneous development outputs can cause direct chemical, radiological or equipment harm before independent test isolation and integration acceptance?</x:v>
      </x:c>
      <x:c r="D14" s="3" t="str">
        <x:v>Blanket concepts have different hazards, and neither generic catastrophic language nor complete containment is justified.</x:v>
      </x:c>
      <x:c r="E14" s="3" t="str">
        <x:v>fusion-src-038;fusion-src-028</x:v>
      </x:c>
      <x:c r="F14" s="3" t="str">
        <x:v>Named blanket engineering and test-safety specialist</x:v>
      </x:c>
      <x:c r="G14" s="3" t="str">
        <x:v>missing</x:v>
      </x:c>
      <x:c r="H14" s="3" t="str">
        <x:v>pending_named_specialist</x:v>
      </x:c>
    </x:row>
    <x:row r="15" ht="44" customHeight="1">
      <x:c r="A15" s="9" t="str">
        <x:v>sp-0028</x:v>
      </x:c>
      <x:c r="B15" s="9" t="str">
        <x:v>S5</x:v>
      </x:c>
      <x:c r="C15" s="9" t="str">
        <x:v>During pilot nuclear/tritium commissioning, what direct harm from an erroneous startup or interface check can occur before independently verified interlocks and readiness hold points act?</x:v>
      </x:c>
      <x:c r="D15" s="9" t="str">
        <x:v>Low-power research-device first plasma does not validate the pilot boundary supporting owner 1.</x:v>
      </x:c>
      <x:c r="E15" s="9" t="str">
        <x:v>fusion-src-033;fusion-src-034;fusion-src-036</x:v>
      </x:c>
      <x:c r="F15" s="9" t="str">
        <x:v>Named fusion commissioning and nuclear/tritium systems-safety engineer</x:v>
      </x:c>
      <x:c r="G15" s="9" t="str">
        <x:v>missing</x:v>
      </x:c>
      <x:c r="H15" s="9" t="str">
        <x:v>pending_named_specialist</x:v>
      </x:c>
    </x:row>
    <x:row r="16" ht="44" customHeight="1">
      <x:c r="A16" s="3" t="str">
        <x:v>sp-0029</x:v>
      </x:c>
      <x:c r="B16" s="3" t="str">
        <x:v>S2</x:v>
      </x:c>
      <x:c r="C16" s="3" t="str">
        <x:v>What specific pilot reliability or availability claim, exposure requirement and failure/repair criterion defines completion, and what ordinary learn-demonstrate-revise interval follows?</x:v>
      </x:c>
      <x:c r="D16" s="3" t="str">
        <x:v>Pulse duration cannot establish a years-scale feedback claim, and the frozen profile does not name the reliability target.</x:v>
      </x:c>
      <x:c r="E16" s="3" t="str">
        <x:v>fusion-src-011;fusion-src-032</x:v>
      </x:c>
      <x:c r="F16" s="3" t="str">
        <x:v>Named fusion reliability/availability and maintainability specialist</x:v>
      </x:c>
      <x:c r="G16" s="3" t="str">
        <x:v>missing</x:v>
      </x:c>
      <x:c r="H16" s="3" t="str">
        <x:v>pending_named_specialist</x:v>
      </x:c>
    </x:row>
    <x:row r="17" ht="44" customHeight="1">
      <x:c r="A17" s="9" t="str">
        <x:v>sp-0029</x:v>
      </x:c>
      <x:c r="B17" s="9" t="str">
        <x:v>S5</x:v>
      </x:c>
      <x:c r="C17" s="9" t="str">
        <x:v>Which errors in reliability-test conduct or inference can escape to cause harm before independent machine protection and readiness acceptance, distinct from component failures the test is meant to reveal?</x:v>
      </x:c>
      <x:c r="D17" s="9" t="str">
        <x:v>This prevents both over-counting informative failures as catastrophic errors and understating false assurance.</x:v>
      </x:c>
      <x:c r="E17" s="9" t="str">
        <x:v>missing</x:v>
      </x:c>
      <x:c r="F17" s="9" t="str">
        <x:v>Named reliability demonstration and operational-assurance specialist</x:v>
      </x:c>
      <x:c r="G17" s="9" t="str">
        <x:v>missing</x:v>
      </x:c>
      <x:c r="H17" s="9" t="str">
        <x:v>pending_named_specialist</x:v>
      </x:c>
    </x:row>
    <x:row r="18" ht="44" customHeight="1">
      <x:c r="A18" s="3" t="str">
        <x:v>sp-0030</x:v>
      </x:c>
      <x:c r="B18" s="3" t="str">
        <x:v>S2</x:v>
      </x:c>
      <x:c r="C18" s="3" t="str">
        <x:v>Which jurisdiction-specific application, review and response stages define the ordinary fusion pilot licensing loop, and is any shared 0-1 recommendation defensible without a completed comparable case?</x:v>
      </x:c>
      <x:c r="D18" s="3" t="str">
        <x:v>The owner withheld selection; rulemaking intervals cannot resolve licensing feedback speed.</x:v>
      </x:c>
      <x:c r="E18" s="3" t="str">
        <x:v>fusion-src-039;fusion-src-040;fusion-src-004</x:v>
      </x:c>
      <x:c r="F18" s="3" t="str">
        <x:v>Named fusion regulatory specialist for the applicable jurisdiction; qualified Chinese legal reviewer for PRC wording</x:v>
      </x:c>
      <x:c r="G18" s="3" t="str">
        <x:v>missing</x:v>
      </x:c>
      <x:c r="H18" s="3" t="str">
        <x:v>pending_named_specialist</x:v>
      </x:c>
    </x:row>
    <x:row r="19" ht="44" customHeight="1">
      <x:c r="A19" s="9" t="str">
        <x:v>sp-0030</x:v>
      </x:c>
      <x:c r="B19" s="9" t="str">
        <x:v>S3</x:v>
      </x:c>
      <x:c r="C19" s="9" t="str">
        <x:v>For that licensing regime, what counts as a formal attempt, what does it cost, and which parts of application preparation and substantive review can proceed in parallel?</x:v>
      </x:c>
      <x:c r="D19" s="9" t="str">
        <x:v>Cheap drafts and scarce formal reviews imply different S3 judgments; legal status supplies neither cost nor throughput.</x:v>
      </x:c>
      <x:c r="E19" s="9" t="str">
        <x:v>fusion-src-039;fusion-src-040;fusion-src-004</x:v>
      </x:c>
      <x:c r="F19" s="9" t="str">
        <x:v>Named fusion licensing practitioner with application and regulator-review experience</x:v>
      </x:c>
      <x:c r="G19" s="9" t="str">
        <x:v>missing</x:v>
      </x:c>
      <x:c r="H19" s="9" t="str">
        <x:v>pending_named_specialist</x:v>
      </x:c>
    </x:row>
    <x:row r="20" ht="44" customHeight="1">
      <x:c r="A20" s="3" t="str">
        <x:v>sp-0030</x:v>
      </x:c>
      <x:c r="B20" s="3" t="str">
        <x:v>S5</x:v>
      </x:c>
      <x:c r="C20" s="3" t="str">
        <x:v>What direct consequence can an erroneous fusion pilot licence or safety-case acceptance cause before the next genuinely independent operating authorization or technical control in that jurisdiction?</x:v>
      </x:c>
      <x:c r="D20" s="3" t="str">
        <x:v>The unresolved owner 0-2 interval depends on the actual legal and technical boundary; a midpoint would be fabricated consensus.</x:v>
      </x:c>
      <x:c r="E20" s="3" t="str">
        <x:v>fusion-src-039;fusion-src-040;fusion-src-004</x:v>
      </x:c>
      <x:c r="F20" s="3" t="str">
        <x:v>Named fusion regulatory/safety-case specialist; qualified native-language legal expertise where applicable</x:v>
      </x:c>
      <x:c r="G20" s="3" t="str">
        <x:v>missing</x:v>
      </x:c>
      <x:c r="H20" s="3" t="str">
        <x:v>pending_named_specialist</x:v>
      </x:c>
    </x:row>
    <x:row r="21" ht="44" customHeight="1">
      <x:c r="A21" s="9" t="str">
        <x:v>sp-0031</x:v>
      </x:c>
      <x:c r="B21" s="9" t="str">
        <x:v>S3</x:v>
      </x:c>
      <x:c r="C21" s="9" t="str">
        <x:v>For a concrete pilot site, which connection assets are reused or new, and what are the marginal cost and attainable repetition of studies versus energized integrated tests?</x:v>
      </x:c>
      <x:c r="D21" s="9" t="str">
        <x:v>The owner preserves 0-1 because no comparable fusion-grid case defines the decisive attempt set.</x:v>
      </x:c>
      <x:c r="E21" s="9" t="str">
        <x:v>fusion-src-031</x:v>
      </x:c>
      <x:c r="F21" s="9" t="str">
        <x:v>Named grid-interconnection and power-plant electrical engineer</x:v>
      </x:c>
      <x:c r="G21" s="9" t="str">
        <x:v>missing</x:v>
      </x:c>
      <x:c r="H21" s="9" t="str">
        <x:v>pending_named_specialist</x:v>
      </x:c>
    </x:row>
    <x:row r="22" ht="44" customHeight="1">
      <x:c r="A22" s="3" t="str">
        <x:v>sp-0031</x:v>
      </x:c>
      <x:c r="B22" s="3" t="str">
        <x:v>S4</x:v>
      </x:c>
      <x:c r="C22" s="3" t="str">
        <x:v>Which physical installation, connection and energization steps are unavoidable at that site, separately from equipment procurement queues, outage booking and regulatory waits?</x:v>
      </x:c>
      <x:c r="D22" s="3" t="str">
        <x:v>Greenfield versus reused infrastructure can change the physical topology and the 0-1 recommendation.</x:v>
      </x:c>
      <x:c r="E22" s="3" t="str">
        <x:v>missing</x:v>
      </x:c>
      <x:c r="F22" s="3" t="str">
        <x:v>Named grid connection/construction and commissioning engineer</x:v>
      </x:c>
      <x:c r="G22" s="3" t="str">
        <x:v>missing</x:v>
      </x:c>
      <x:c r="H22" s="3" t="str">
        <x:v>pending_named_specialist</x:v>
      </x:c>
    </x:row>
    <x:row r="23" ht="44" customHeight="1">
      <x:c r="A23" s="9" t="str">
        <x:v>sp-0031</x:v>
      </x:c>
      <x:c r="B23" s="9" t="str">
        <x:v>S5</x:v>
      </x:c>
      <x:c r="C23" s="9" t="str">
        <x:v>What direct equipment or network consequences can incorrect pilot protection or energization cause before independently coordinated utility and plant protection isolate the fault?</x:v>
      </x:c>
      <x:c r="D23" s="9" t="str">
        <x:v>Owner 1 depends on a real protection boundary that no observed fusion export case currently validates.</x:v>
      </x:c>
      <x:c r="E23" s="9" t="str">
        <x:v>fusion-src-031</x:v>
      </x:c>
      <x:c r="F23" s="9" t="str">
        <x:v>Named power-system protection and grid-integration safety engineer</x:v>
      </x:c>
      <x:c r="G23" s="9" t="str">
        <x:v>missing</x:v>
      </x:c>
      <x:c r="H23" s="9" t="str">
        <x:v>pending_named_specialist</x:v>
      </x:c>
    </x:row>
  </x:sheetData>
  <x:mergeCells>
    <x:mergeCell ref="A1:D1"/>
    <x:mergeCell ref="A2:D2"/>
  </x:mergeCells>
  <x:pageMargins left="0.7" right="0.7" top="0.75" bottom="0.75" header="0.3" footer="0.3"/>
  <x:tableParts count="1">
    <x:tablePart xmlns:r="http://schemas.openxmlformats.org/officeDocument/2006/relationships" r:id="R97891c01a6964a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25" hidden="0" customWidth="1"/>
    <x:col min="4" max="4" width="30" hidden="0" customWidth="1"/>
    <x:col min="5" max="5" width="20" hidden="0" customWidth="1"/>
    <x:col min="6" max="6" width="23" hidden="0" customWidth="1"/>
    <x:col min="7" max="7" width="25" hidden="0" customWidth="1"/>
    <x:col min="8" max="8" width="26" hidden="0" customWidth="1"/>
    <x:col min="9" max="9" width="115" hidden="0" customWidth="1"/>
    <x:col min="10" max="10" width="20" hidden="0" customWidth="1"/>
    <x:col min="11" max="11" width="27" hidden="0" customWidth="1"/>
    <x:col min="12" max="12" width="150" hidden="0" customWidth="1"/>
    <x:col min="13" max="13" width="135" hidden="0" customWidth="1"/>
    <x:col min="14" max="14" width="26" hidden="0" customWidth="1"/>
    <x:col min="15" max="15" width="75" hidden="0" customWidth="1"/>
  </x:cols>
  <x:sheetData>
    <x:row r="1" ht="54" customHeight="1">
      <x:c r="A1" s="5" t="str">
        <x:v>Preserved record</x:v>
      </x:c>
      <x:c r="B1" s="5"/>
      <x:c r="C1" s="5"/>
      <x:c r="D1" s="5"/>
      <x:c r="E1" s="5"/>
      <x:c r="F1" s="5"/>
      <x:c r="G1" s="5"/>
      <x:c r="H1" s="5"/>
      <x:c r="I1" s="5"/>
      <x:c r="J1" s="5"/>
      <x:c r="K1" s="5"/>
      <x:c r="L1" s="5"/>
      <x:c r="M1" s="5"/>
      <x:c r="N1" s="5"/>
      <x:c r="O1" s="5"/>
    </x:row>
    <x:row r="2" ht="43" customHeight="1">
      <x:c r="A2" s="6" t="str">
        <x:v>AI-assisted · recommendation only. Details extend to the right.</x:v>
      </x:c>
      <x:c r="B2" s="6"/>
      <x:c r="C2" s="6"/>
      <x:c r="D2" s="6"/>
      <x:c r="E2" s="6"/>
      <x:c r="F2" s="6"/>
      <x:c r="G2" s="6"/>
      <x:c r="H2" s="6"/>
      <x:c r="I2" s="6"/>
      <x:c r="J2" s="6"/>
      <x:c r="K2" s="6"/>
      <x:c r="L2" s="6"/>
      <x:c r="M2" s="6"/>
      <x:c r="N2" s="6"/>
      <x:c r="O2" s="6"/>
    </x:row>
    <x:row r="3">
      <x:c r="A3" s="3"/>
      <x:c r="B3" s="3"/>
      <x:c r="C3" s="3"/>
      <x:c r="D3" s="3"/>
      <x:c r="E3" s="3"/>
      <x:c r="F3" s="3"/>
      <x:c r="G3" s="3"/>
      <x:c r="H3" s="3"/>
      <x:c r="I3" s="3"/>
      <x:c r="J3" s="3"/>
      <x:c r="K3" s="3"/>
      <x:c r="L3" s="3"/>
      <x:c r="M3" s="3"/>
      <x:c r="N3" s="3"/>
      <x:c r="O3" s="3"/>
    </x:row>
    <x:row r="4" ht="43" customHeight="1">
      <x:c r="A4" s="8" t="str">
        <x:v>Profile ID</x:v>
      </x:c>
      <x:c r="B4" s="8" t="str">
        <x:v>Dimension</x:v>
      </x:c>
      <x:c r="C4" s="8" t="str">
        <x:v>Seed review ID</x:v>
      </x:c>
      <x:c r="D4" s="8" t="str">
        <x:v>Independent review ID</x:v>
      </x:c>
      <x:c r="E4" s="8" t="str">
        <x:v>Seed source IDs</x:v>
      </x:c>
      <x:c r="F4" s="8" t="str">
        <x:v>Independent source IDs</x:v>
      </x:c>
      <x:c r="G4" s="8" t="str">
        <x:v>Owner exception ID</x:v>
      </x:c>
      <x:c r="H4" s="8" t="str">
        <x:v>Owner disposition</x:v>
      </x:c>
      <x:c r="I4" s="8" t="str">
        <x:v>Owner rationale (verbatim)</x:v>
      </x:c>
      <x:c r="J4" s="8" t="str">
        <x:v>Owner selected S value</x:v>
      </x:c>
      <x:c r="K4" s="8" t="str">
        <x:v>Owner decision state</x:v>
      </x:c>
      <x:c r="L4" s="8" t="str">
        <x:v>Seed rationale (verbatim)</x:v>
      </x:c>
      <x:c r="M4" s="8" t="str">
        <x:v>Independent rationale (verbatim)</x:v>
      </x:c>
      <x:c r="N4" s="8" t="str">
        <x:v>Comparison status</x:v>
      </x:c>
      <x:c r="O4" s="8" t="str">
        <x:v>Existing S5 backlog status</x:v>
      </x:c>
    </x:row>
    <x:row r="5" ht="220" customHeight="1">
      <x:c r="A5" s="9" t="str">
        <x:v>sp-0014</x:v>
      </x:c>
      <x:c r="B5" s="9" t="str">
        <x:v>S1</x:v>
      </x:c>
      <x:c r="C5" s="9" t="str">
        <x:v>seed-sp-0014-v1</x:v>
      </x:c>
      <x:c r="D5" s="9" t="str">
        <x:v>independent-sp-0014-v1</x:v>
      </x:c>
      <x:c r="E5" s="9" t="str"/>
      <x:c r="F5" s="9" t="str"/>
      <x:c r="G5" s="9" t="str"/>
      <x:c r="H5" s="9" t="str"/>
      <x:c r="I5" s="9" t="str"/>
      <x:c r="J5" s="9" t="str"/>
      <x:c r="K5" s="9" t="str"/>
      <x:c r="L5" s="9" t="str">
        <x:v>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x:v>
      </x:c>
      <x:c r="M5" s="9"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N5" s="9" t="str">
        <x:v>exact_agreement</x:v>
      </x:c>
      <x:c r="O5" s="9" t="str">
        <x:v>not_in_existing_backlog</x:v>
      </x:c>
    </x:row>
    <x:row r="6" ht="220" customHeight="1">
      <x:c r="A6" s="3" t="str">
        <x:v>sp-0014</x:v>
      </x:c>
      <x:c r="B6" s="3" t="str">
        <x:v>S2</x:v>
      </x:c>
      <x:c r="C6" s="3" t="str">
        <x:v>seed-sp-0014-v1</x:v>
      </x:c>
      <x:c r="D6" s="3" t="str">
        <x:v>independent-sp-0014-v1</x:v>
      </x:c>
      <x:c r="E6" s="3" t="str"/>
      <x:c r="F6" s="3" t="str"/>
      <x:c r="G6" s="3" t="str"/>
      <x:c r="H6" s="3" t="str"/>
      <x:c r="I6" s="3" t="str"/>
      <x:c r="J6" s="3" t="str"/>
      <x:c r="K6" s="3" t="str"/>
      <x:c r="L6" s="3" t="str">
        <x:v>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x:v>
      </x:c>
      <x:c r="M6" s="3"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N6" s="3" t="str">
        <x:v>one_point_difference</x:v>
      </x:c>
      <x:c r="O6" s="3" t="str">
        <x:v>not_in_existing_backlog</x:v>
      </x:c>
    </x:row>
    <x:row r="7" ht="220" customHeight="1">
      <x:c r="A7" s="9" t="str">
        <x:v>sp-0014</x:v>
      </x:c>
      <x:c r="B7" s="9" t="str">
        <x:v>S3</x:v>
      </x:c>
      <x:c r="C7" s="9" t="str">
        <x:v>seed-sp-0014-v1</x:v>
      </x:c>
      <x:c r="D7" s="9" t="str">
        <x:v>independent-sp-0014-v1</x:v>
      </x:c>
      <x:c r="E7" s="9" t="str"/>
      <x:c r="F7" s="9" t="str"/>
      <x:c r="G7" s="9" t="str"/>
      <x:c r="H7" s="9" t="str"/>
      <x:c r="I7" s="9" t="str"/>
      <x:c r="J7" s="9" t="str"/>
      <x:c r="K7" s="9" t="str"/>
      <x:c r="L7" s="9" t="str">
        <x:v>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x:v>
      </x:c>
      <x:c r="M7" s="9"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N7" s="9" t="str">
        <x:v>exact_agreement</x:v>
      </x:c>
      <x:c r="O7" s="9" t="str">
        <x:v>not_in_existing_backlog</x:v>
      </x:c>
    </x:row>
    <x:row r="8" ht="220" customHeight="1">
      <x:c r="A8" s="3" t="str">
        <x:v>sp-0014</x:v>
      </x:c>
      <x:c r="B8" s="3" t="str">
        <x:v>S4</x:v>
      </x:c>
      <x:c r="C8" s="3" t="str">
        <x:v>seed-sp-0014-v1</x:v>
      </x:c>
      <x:c r="D8" s="3" t="str">
        <x:v>independent-sp-0014-v1</x:v>
      </x:c>
      <x:c r="E8" s="3" t="str"/>
      <x:c r="F8" s="3" t="str"/>
      <x:c r="G8" s="3" t="str"/>
      <x:c r="H8" s="3" t="str"/>
      <x:c r="I8" s="3" t="str"/>
      <x:c r="J8" s="3" t="str"/>
      <x:c r="K8" s="3" t="str"/>
      <x:c r="L8" s="3" t="str">
        <x:v>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x:v>
      </x:c>
      <x:c r="M8" s="3"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N8" s="3" t="str">
        <x:v>exact_agreement</x:v>
      </x:c>
      <x:c r="O8" s="3" t="str">
        <x:v>not_in_existing_backlog</x:v>
      </x:c>
    </x:row>
    <x:row r="9" ht="220" customHeight="1">
      <x:c r="A9" s="9" t="str">
        <x:v>sp-0014</x:v>
      </x:c>
      <x:c r="B9" s="9" t="str">
        <x:v>S5</x:v>
      </x:c>
      <x:c r="C9" s="9" t="str">
        <x:v>seed-sp-0014-v1</x:v>
      </x:c>
      <x:c r="D9" s="9" t="str">
        <x:v>independent-sp-0014-v1</x:v>
      </x:c>
      <x:c r="E9" s="9" t="str"/>
      <x:c r="F9" s="9" t="str"/>
      <x:c r="G9" s="9" t="str"/>
      <x:c r="H9" s="9" t="str"/>
      <x:c r="I9" s="9" t="str"/>
      <x:c r="J9" s="9" t="str"/>
      <x:c r="K9" s="9" t="str"/>
      <x:c r="L9" s="9" t="str">
        <x:v>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x:v>
      </x:c>
      <x:c r="M9" s="9"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N9" s="9" t="str">
        <x:v>one_point_difference</x:v>
      </x:c>
      <x:c r="O9" s="9" t="str">
        <x:v>audit_trail_retained_pending_targeted_s5_adjudication</x:v>
      </x:c>
    </x:row>
    <x:row r="10" ht="204" customHeight="1">
      <x:c r="A10" s="3" t="str">
        <x:v>sp-0015</x:v>
      </x:c>
      <x:c r="B10" s="3" t="str">
        <x:v>S1</x:v>
      </x:c>
      <x:c r="C10" s="3" t="str">
        <x:v>seed-sp-0015-v1</x:v>
      </x:c>
      <x:c r="D10" s="3" t="str">
        <x:v>independent-sp-0015-v1</x:v>
      </x:c>
      <x:c r="E10" s="3" t="str"/>
      <x:c r="F10" s="3" t="str"/>
      <x:c r="G10" s="3" t="str"/>
      <x:c r="H10" s="3" t="str"/>
      <x:c r="I10" s="3" t="str"/>
      <x:c r="J10" s="3" t="str"/>
      <x:c r="K10" s="3" t="str"/>
      <x:c r="L10" s="3" t="str">
        <x:v>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x:v>
      </x:c>
      <x:c r="M10" s="3"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N10" s="3" t="str">
        <x:v>exact_agreement</x:v>
      </x:c>
      <x:c r="O10" s="3" t="str">
        <x:v>not_in_existing_backlog</x:v>
      </x:c>
    </x:row>
    <x:row r="11" ht="204" customHeight="1">
      <x:c r="A11" s="9" t="str">
        <x:v>sp-0015</x:v>
      </x:c>
      <x:c r="B11" s="9" t="str">
        <x:v>S2</x:v>
      </x:c>
      <x:c r="C11" s="9" t="str">
        <x:v>seed-sp-0015-v1</x:v>
      </x:c>
      <x:c r="D11" s="9" t="str">
        <x:v>independent-sp-0015-v1</x:v>
      </x:c>
      <x:c r="E11" s="9" t="str"/>
      <x:c r="F11" s="9" t="str"/>
      <x:c r="G11" s="9" t="str"/>
      <x:c r="H11" s="9" t="str"/>
      <x:c r="I11" s="9" t="str"/>
      <x:c r="J11" s="9" t="str"/>
      <x:c r="K11" s="9" t="str"/>
      <x:c r="L11" s="9" t="str">
        <x:v>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x:v>
      </x:c>
      <x:c r="M11" s="9"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N11" s="9" t="str">
        <x:v>exact_agreement</x:v>
      </x:c>
      <x:c r="O11" s="9" t="str">
        <x:v>not_in_existing_backlog</x:v>
      </x:c>
    </x:row>
    <x:row r="12" ht="204" customHeight="1">
      <x:c r="A12" s="3" t="str">
        <x:v>sp-0015</x:v>
      </x:c>
      <x:c r="B12" s="3" t="str">
        <x:v>S3</x:v>
      </x:c>
      <x:c r="C12" s="3" t="str">
        <x:v>seed-sp-0015-v1</x:v>
      </x:c>
      <x:c r="D12" s="3" t="str">
        <x:v>independent-sp-0015-v1</x:v>
      </x:c>
      <x:c r="E12" s="3" t="str"/>
      <x:c r="F12" s="3" t="str"/>
      <x:c r="G12" s="3" t="str"/>
      <x:c r="H12" s="3" t="str"/>
      <x:c r="I12" s="3" t="str"/>
      <x:c r="J12" s="3" t="str"/>
      <x:c r="K12" s="3" t="str"/>
      <x:c r="L12" s="3" t="str">
        <x:v>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x:v>
      </x:c>
      <x:c r="M12" s="3"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N12" s="3" t="str">
        <x:v>exact_agreement</x:v>
      </x:c>
      <x:c r="O12" s="3" t="str">
        <x:v>not_in_existing_backlog</x:v>
      </x:c>
    </x:row>
    <x:row r="13" ht="204" customHeight="1">
      <x:c r="A13" s="9" t="str">
        <x:v>sp-0015</x:v>
      </x:c>
      <x:c r="B13" s="9" t="str">
        <x:v>S4</x:v>
      </x:c>
      <x:c r="C13" s="9" t="str">
        <x:v>seed-sp-0015-v1</x:v>
      </x:c>
      <x:c r="D13" s="9" t="str">
        <x:v>independent-sp-0015-v1</x:v>
      </x:c>
      <x:c r="E13" s="9" t="str"/>
      <x:c r="F13" s="9" t="str"/>
      <x:c r="G13" s="9" t="str"/>
      <x:c r="H13" s="9" t="str"/>
      <x:c r="I13" s="9" t="str"/>
      <x:c r="J13" s="9" t="str"/>
      <x:c r="K13" s="9" t="str"/>
      <x:c r="L13" s="9" t="str">
        <x:v>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x:v>
      </x:c>
      <x:c r="M13" s="9"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N13" s="9" t="str">
        <x:v>exact_agreement</x:v>
      </x:c>
      <x:c r="O13" s="9" t="str">
        <x:v>not_in_existing_backlog</x:v>
      </x:c>
    </x:row>
    <x:row r="14" ht="204" customHeight="1">
      <x:c r="A14" s="3" t="str">
        <x:v>sp-0015</x:v>
      </x:c>
      <x:c r="B14" s="3" t="str">
        <x:v>S5</x:v>
      </x:c>
      <x:c r="C14" s="3" t="str">
        <x:v>seed-sp-0015-v1</x:v>
      </x:c>
      <x:c r="D14" s="3" t="str">
        <x:v>independent-sp-0015-v1</x:v>
      </x:c>
      <x:c r="E14" s="3" t="str"/>
      <x:c r="F14" s="3" t="str"/>
      <x:c r="G14" s="3" t="str"/>
      <x:c r="H14" s="3" t="str"/>
      <x:c r="I14" s="3" t="str"/>
      <x:c r="J14" s="3" t="str"/>
      <x:c r="K14" s="3" t="str"/>
      <x:c r="L14" s="3" t="str">
        <x:v>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x:v>
      </x:c>
      <x:c r="M14" s="3"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N14" s="3" t="str">
        <x:v>one_point_difference</x:v>
      </x:c>
      <x:c r="O14" s="3" t="str">
        <x:v>audit_trail_retained_pending_targeted_s5_adjudication</x:v>
      </x:c>
    </x:row>
    <x:row r="15" ht="236" customHeight="1">
      <x:c r="A15" s="9" t="str">
        <x:v>sp-0016</x:v>
      </x:c>
      <x:c r="B15" s="9" t="str">
        <x:v>S1</x:v>
      </x:c>
      <x:c r="C15" s="9" t="str">
        <x:v>seed-sp-0016-v1</x:v>
      </x:c>
      <x:c r="D15" s="9" t="str">
        <x:v>independent-sp-0016-v1</x:v>
      </x:c>
      <x:c r="E15" s="9" t="str"/>
      <x:c r="F15" s="9" t="str"/>
      <x:c r="G15" s="9" t="str"/>
      <x:c r="H15" s="9" t="str"/>
      <x:c r="I15" s="9" t="str"/>
      <x:c r="J15" s="9" t="str"/>
      <x:c r="K15" s="9" t="str"/>
      <x:c r="L15" s="9"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M15" s="9"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N15" s="9" t="str">
        <x:v>exact_agreement</x:v>
      </x:c>
      <x:c r="O15" s="9" t="str">
        <x:v>not_in_existing_backlog</x:v>
      </x:c>
    </x:row>
    <x:row r="16" ht="236" customHeight="1">
      <x:c r="A16" s="3" t="str">
        <x:v>sp-0016</x:v>
      </x:c>
      <x:c r="B16" s="3" t="str">
        <x:v>S2</x:v>
      </x:c>
      <x:c r="C16" s="3" t="str">
        <x:v>seed-sp-0016-v1</x:v>
      </x:c>
      <x:c r="D16" s="3" t="str">
        <x:v>independent-sp-0016-v1</x:v>
      </x:c>
      <x:c r="E16" s="3" t="str"/>
      <x:c r="F16" s="3" t="str"/>
      <x:c r="G16" s="3" t="str">
        <x:v>exc-sp-0016-s2</x:v>
      </x:c>
      <x:c r="H16" s="3" t="str">
        <x:v>prefer_seed</x:v>
      </x:c>
      <x:c r="I16" s="3" t="str">
        <x:v>Select S2=1. The document or schedule can be revised quickly, but the ordinary feedback that reveals whether experiment selection was sound depends on scarce device campaigns and can take many months. This is slower than the weeks-to-months midpoint without being intrinsically decade-scale.</x:v>
      </x:c>
      <x:c r="J16" s="3" t="str"/>
      <x:c r="K16" s="3" t="str">
        <x:v>owner_preference_recorded</x:v>
      </x:c>
      <x:c r="L16" s="3"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M16" s="3"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N16" s="3" t="str">
        <x:v>one_point_difference</x:v>
      </x:c>
      <x:c r="O16" s="3" t="str">
        <x:v>not_in_existing_backlog</x:v>
      </x:c>
    </x:row>
    <x:row r="17" ht="236" customHeight="1">
      <x:c r="A17" s="9" t="str">
        <x:v>sp-0016</x:v>
      </x:c>
      <x:c r="B17" s="9" t="str">
        <x:v>S3</x:v>
      </x:c>
      <x:c r="C17" s="9" t="str">
        <x:v>seed-sp-0016-v1</x:v>
      </x:c>
      <x:c r="D17" s="9" t="str">
        <x:v>independent-sp-0016-v1</x:v>
      </x:c>
      <x:c r="E17" s="9" t="str"/>
      <x:c r="F17" s="9" t="str"/>
      <x:c r="G17" s="9" t="str">
        <x:v>exc-sp-0016-s3</x:v>
      </x:c>
      <x:c r="H17" s="9" t="str">
        <x:v>prefer_independent</x:v>
      </x:c>
      <x:c r="I17" s="9" t="str">
        <x:v>Select S3=2. Generating candidate experiment plans is cheap, while validating them consumes scarce shots and facility time. That is exactly the rubric's meaningful-resources/scarce-system-but-repeatable case; S3=1 overweights the scarcity of the decisive subset.</x:v>
      </x:c>
      <x:c r="J17" s="9" t="str"/>
      <x:c r="K17" s="9" t="str">
        <x:v>owner_preference_recorded</x:v>
      </x:c>
      <x:c r="L17" s="9"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M17" s="9"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N17" s="9" t="str">
        <x:v>one_point_difference</x:v>
      </x:c>
      <x:c r="O17" s="9" t="str">
        <x:v>not_in_existing_backlog</x:v>
      </x:c>
    </x:row>
    <x:row r="18" ht="236" customHeight="1">
      <x:c r="A18" s="3" t="str">
        <x:v>sp-0016</x:v>
      </x:c>
      <x:c r="B18" s="3" t="str">
        <x:v>S4</x:v>
      </x:c>
      <x:c r="C18" s="3" t="str">
        <x:v>seed-sp-0016-v1</x:v>
      </x:c>
      <x:c r="D18" s="3" t="str">
        <x:v>independent-sp-0016-v1</x:v>
      </x:c>
      <x:c r="E18" s="3" t="str"/>
      <x:c r="F18" s="3" t="str"/>
      <x:c r="G18" s="3" t="str">
        <x:v>exc-sp-0016-s4</x:v>
      </x:c>
      <x:c r="H18" s="3" t="str">
        <x:v>prefer_independent</x:v>
      </x:c>
      <x:c r="I18" s="3" t="str">
        <x:v>Select S4=4. Physical experiment execution is explicitly outside the scoped stage. Campaign availability appropriately lowers S2 and S3, but it should not be imported again as an intrinsic physical floor inside experiment selection.</x:v>
      </x:c>
      <x:c r="J18" s="3" t="str"/>
      <x:c r="K18" s="3" t="str">
        <x:v>owner_preference_recorded</x:v>
      </x:c>
      <x:c r="L18" s="3"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M18" s="3"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N18" s="3" t="str">
        <x:v>one_point_difference</x:v>
      </x:c>
      <x:c r="O18" s="3" t="str">
        <x:v>not_in_existing_backlog</x:v>
      </x:c>
    </x:row>
    <x:row r="19" ht="236" customHeight="1">
      <x:c r="A19" s="9" t="str">
        <x:v>sp-0016</x:v>
      </x:c>
      <x:c r="B19" s="9" t="str">
        <x:v>S5</x:v>
      </x:c>
      <x:c r="C19" s="9" t="str">
        <x:v>seed-sp-0016-v1</x:v>
      </x:c>
      <x:c r="D19" s="9" t="str">
        <x:v>independent-sp-0016-v1</x:v>
      </x:c>
      <x:c r="E19" s="9" t="str"/>
      <x:c r="F19" s="9" t="str"/>
      <x:c r="G19" s="9" t="str"/>
      <x:c r="H19" s="9" t="str"/>
      <x:c r="I19" s="9" t="str"/>
      <x:c r="J19" s="9" t="str"/>
      <x:c r="K19" s="9" t="str"/>
      <x:c r="L19" s="9"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M19" s="9"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N19" s="9" t="str">
        <x:v>exact_agreement</x:v>
      </x:c>
      <x:c r="O19" s="9" t="str">
        <x:v>not_in_existing_backlog</x:v>
      </x:c>
    </x:row>
    <x:row r="20" ht="220" customHeight="1">
      <x:c r="A20" s="3" t="str">
        <x:v>sp-0017</x:v>
      </x:c>
      <x:c r="B20" s="3" t="str">
        <x:v>S1</x:v>
      </x:c>
      <x:c r="C20" s="3" t="str">
        <x:v>seed-sp-0017-v1</x:v>
      </x:c>
      <x:c r="D20" s="3" t="str">
        <x:v>independent-sp-0017-v1</x:v>
      </x:c>
      <x:c r="E20" s="3" t="str"/>
      <x:c r="F20" s="3" t="str"/>
      <x:c r="G20" s="3" t="str"/>
      <x:c r="H20" s="3" t="str"/>
      <x:c r="I20" s="3" t="str"/>
      <x:c r="J20" s="3" t="str"/>
      <x:c r="K20" s="3" t="str"/>
      <x:c r="L20" s="3" t="str">
        <x:v>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x:v>
      </x:c>
      <x:c r="M20" s="3" t="str">
        <x:v>S1: 2 — diagnostic progress combines measurement-system preparation and use with data interpretation; S2: 2 — preparation, experiment, calibration, and analysis loops are generally weeks to months; S3 cost: 1 — Intermediate judgment: analysis reruns are cheap, but diagnostic reconfiguration and facility shots are costly and scarce; S3 throughput: some data work is parallel, while hardware access and scheduled plasma operations sharply constrain physical attempts; S4: 2 — installation, calibration, and experiment availability impose meaningful delay without dominating all interpretation work; S5: 2 — errors can invalidate scarce shots or mislead conclusions, but are usually diagnosable and containable within research; scope caveat: includes design through interpretation and excludes plant-subsystem fabrication.</x:v>
      </x:c>
      <x:c r="N20" s="3" t="str">
        <x:v>one_point_difference</x:v>
      </x:c>
      <x:c r="O20" s="3" t="str">
        <x:v>not_in_existing_backlog</x:v>
      </x:c>
    </x:row>
    <x:row r="21" ht="220" customHeight="1">
      <x:c r="A21" s="9" t="str">
        <x:v>sp-0017</x:v>
      </x:c>
      <x:c r="B21" s="9" t="str">
        <x:v>S2</x:v>
      </x:c>
      <x:c r="C21" s="9" t="str">
        <x:v>seed-sp-0017-v1</x:v>
      </x:c>
      <x:c r="D21" s="9" t="str">
        <x:v>independent-sp-0017-v1</x:v>
      </x:c>
      <x:c r="E21" s="9" t="str"/>
      <x:c r="F21" s="9" t="str"/>
      <x:c r="G21" s="9" t="str"/>
      <x:c r="H21" s="9" t="str"/>
      <x:c r="I21" s="9" t="str"/>
      <x:c r="J21" s="9" t="str"/>
      <x:c r="K21" s="9" t="str"/>
      <x:c r="L21" s="9" t="str">
        <x:v>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x:v>
      </x:c>
      <x:c r="M21" s="9" t="str">
        <x:v>S1: 2 — diagnostic progress combines measurement-system preparation and use with data interpretation; S2: 2 — preparation, experiment, calibration, and analysis loops are generally weeks to months; S3 cost: 1 — Intermediate judgment: analysis reruns are cheap, but diagnostic reconfiguration and facility shots are costly and scarce; S3 throughput: some data work is parallel, while hardware access and scheduled plasma operations sharply constrain physical attempts; S4: 2 — installation, calibration, and experiment availability impose meaningful delay without dominating all interpretation work; S5: 2 — errors can invalidate scarce shots or mislead conclusions, but are usually diagnosable and containable within research; scope caveat: includes design through interpretation and excludes plant-subsystem fabrication.</x:v>
      </x:c>
      <x:c r="N21" s="9" t="str">
        <x:v>exact_agreement</x:v>
      </x:c>
      <x:c r="O21" s="9" t="str">
        <x:v>not_in_existing_backlog</x:v>
      </x:c>
    </x:row>
    <x:row r="22" ht="220" customHeight="1">
      <x:c r="A22" s="3" t="str">
        <x:v>sp-0017</x:v>
      </x:c>
      <x:c r="B22" s="3" t="str">
        <x:v>S3</x:v>
      </x:c>
      <x:c r="C22" s="3" t="str">
        <x:v>seed-sp-0017-v1</x:v>
      </x:c>
      <x:c r="D22" s="3" t="str">
        <x:v>independent-sp-0017-v1</x:v>
      </x:c>
      <x:c r="E22" s="3" t="str"/>
      <x:c r="F22" s="3" t="str"/>
      <x:c r="G22" s="3" t="str"/>
      <x:c r="H22" s="3" t="str"/>
      <x:c r="I22" s="3" t="str"/>
      <x:c r="J22" s="3" t="str"/>
      <x:c r="K22" s="3" t="str"/>
      <x:c r="L22" s="3" t="str">
        <x:v>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x:v>
      </x:c>
      <x:c r="M22" s="3" t="str">
        <x:v>S1: 2 — diagnostic progress combines measurement-system preparation and use with data interpretation; S2: 2 — preparation, experiment, calibration, and analysis loops are generally weeks to months; S3 cost: 1 — Intermediate judgment: analysis reruns are cheap, but diagnostic reconfiguration and facility shots are costly and scarce; S3 throughput: some data work is parallel, while hardware access and scheduled plasma operations sharply constrain physical attempts; S4: 2 — installation, calibration, and experiment availability impose meaningful delay without dominating all interpretation work; S5: 2 — errors can invalidate scarce shots or mislead conclusions, but are usually diagnosable and containable within research; scope caveat: includes design through interpretation and excludes plant-subsystem fabrication.</x:v>
      </x:c>
      <x:c r="N22" s="3" t="str">
        <x:v>one_point_difference</x:v>
      </x:c>
      <x:c r="O22" s="3" t="str">
        <x:v>not_in_existing_backlog</x:v>
      </x:c>
    </x:row>
    <x:row r="23" ht="220" customHeight="1">
      <x:c r="A23" s="9" t="str">
        <x:v>sp-0017</x:v>
      </x:c>
      <x:c r="B23" s="9" t="str">
        <x:v>S4</x:v>
      </x:c>
      <x:c r="C23" s="9" t="str">
        <x:v>seed-sp-0017-v1</x:v>
      </x:c>
      <x:c r="D23" s="9" t="str">
        <x:v>independent-sp-0017-v1</x:v>
      </x:c>
      <x:c r="E23" s="9" t="str"/>
      <x:c r="F23" s="9" t="str"/>
      <x:c r="G23" s="9" t="str"/>
      <x:c r="H23" s="9" t="str"/>
      <x:c r="I23" s="9" t="str"/>
      <x:c r="J23" s="9" t="str"/>
      <x:c r="K23" s="9" t="str"/>
      <x:c r="L23" s="9" t="str">
        <x:v>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x:v>
      </x:c>
      <x:c r="M23" s="9" t="str">
        <x:v>S1: 2 — diagnostic progress combines measurement-system preparation and use with data interpretation; S2: 2 — preparation, experiment, calibration, and analysis loops are generally weeks to months; S3 cost: 1 — Intermediate judgment: analysis reruns are cheap, but diagnostic reconfiguration and facility shots are costly and scarce; S3 throughput: some data work is parallel, while hardware access and scheduled plasma operations sharply constrain physical attempts; S4: 2 — installation, calibration, and experiment availability impose meaningful delay without dominating all interpretation work; S5: 2 — errors can invalidate scarce shots or mislead conclusions, but are usually diagnosable and containable within research; scope caveat: includes design through interpretation and excludes plant-subsystem fabrication.</x:v>
      </x:c>
      <x:c r="N23" s="9" t="str">
        <x:v>exact_agreement</x:v>
      </x:c>
      <x:c r="O23" s="9" t="str">
        <x:v>not_in_existing_backlog</x:v>
      </x:c>
    </x:row>
    <x:row r="24" ht="220" customHeight="1">
      <x:c r="A24" s="3" t="str">
        <x:v>sp-0017</x:v>
      </x:c>
      <x:c r="B24" s="3" t="str">
        <x:v>S5</x:v>
      </x:c>
      <x:c r="C24" s="3" t="str">
        <x:v>seed-sp-0017-v1</x:v>
      </x:c>
      <x:c r="D24" s="3" t="str">
        <x:v>independent-sp-0017-v1</x:v>
      </x:c>
      <x:c r="E24" s="3" t="str"/>
      <x:c r="F24" s="3" t="str"/>
      <x:c r="G24" s="3" t="str"/>
      <x:c r="H24" s="3" t="str"/>
      <x:c r="I24" s="3" t="str"/>
      <x:c r="J24" s="3" t="str"/>
      <x:c r="K24" s="3" t="str"/>
      <x:c r="L24" s="3" t="str">
        <x:v>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x:v>
      </x:c>
      <x:c r="M24" s="3" t="str">
        <x:v>S1: 2 — diagnostic progress combines measurement-system preparation and use with data interpretation; S2: 2 — preparation, experiment, calibration, and analysis loops are generally weeks to months; S3 cost: 1 — Intermediate judgment: analysis reruns are cheap, but diagnostic reconfiguration and facility shots are costly and scarce; S3 throughput: some data work is parallel, while hardware access and scheduled plasma operations sharply constrain physical attempts; S4: 2 — installation, calibration, and experiment availability impose meaningful delay without dominating all interpretation work; S5: 2 — errors can invalidate scarce shots or mislead conclusions, but are usually diagnosable and containable within research; scope caveat: includes design through interpretation and excludes plant-subsystem fabrication.</x:v>
      </x:c>
      <x:c r="N24" s="3" t="str">
        <x:v>exact_agreement</x:v>
      </x:c>
      <x:c r="O24" s="3" t="str">
        <x:v>not_in_existing_backlog</x:v>
      </x:c>
    </x:row>
    <x:row r="25" ht="252" customHeight="1">
      <x:c r="A25" s="9" t="str">
        <x:v>sp-0018</x:v>
      </x:c>
      <x:c r="B25" s="9" t="str">
        <x:v>S1</x:v>
      </x:c>
      <x:c r="C25" s="9" t="str">
        <x:v>seed-sp-0018-v1</x:v>
      </x:c>
      <x:c r="D25" s="9" t="str">
        <x:v>independent-sp-0018-v1</x:v>
      </x:c>
      <x:c r="E25" s="9" t="str"/>
      <x:c r="F25" s="9" t="str"/>
      <x:c r="G25" s="9" t="str">
        <x:v>exc-sp-0018-s1</x:v>
      </x:c>
      <x:c r="H25" s="9" t="str">
        <x:v>prefer_independent</x:v>
      </x:c>
      <x:c r="I25" s="9" t="str">
        <x:v>Select S1=2. The frozen stage combines control-law and simulator work with live actuation and testing on physical plasma. Both informational and physical work are constitutive of progress; describing the stage as predominantly informational is too strong.</x:v>
      </x:c>
      <x:c r="J25" s="9" t="str"/>
      <x:c r="K25" s="9" t="str">
        <x:v>owner_preference_recorded</x:v>
      </x:c>
      <x:c r="L25" s="9"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M25" s="9"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N25" s="9" t="str">
        <x:v>one_point_difference</x:v>
      </x:c>
      <x:c r="O25" s="9" t="str">
        <x:v>not_in_existing_backlog</x:v>
      </x:c>
    </x:row>
    <x:row r="26" ht="252" customHeight="1">
      <x:c r="A26" s="3" t="str">
        <x:v>sp-0018</x:v>
      </x:c>
      <x:c r="B26" s="3" t="str">
        <x:v>S2</x:v>
      </x:c>
      <x:c r="C26" s="3" t="str">
        <x:v>seed-sp-0018-v1</x:v>
      </x:c>
      <x:c r="D26" s="3" t="str">
        <x:v>independent-sp-0018-v1</x:v>
      </x:c>
      <x:c r="E26" s="3" t="str"/>
      <x:c r="F26" s="3" t="str"/>
      <x:c r="G26" s="3" t="str">
        <x:v>exc-sp-0018-s2</x:v>
      </x:c>
      <x:c r="H26" s="3" t="str">
        <x:v>prefer_seed</x:v>
      </x:c>
      <x:c r="I26" s="3" t="str">
        <x:v>Select S2=2. Control signals and simulator loops are fast, but validated control learning spans shots and campaigns. The ordinary scoped learn-test-revise loop is therefore weeks to months rather than the faster S2=3 interpretation.</x:v>
      </x:c>
      <x:c r="J26" s="3" t="str"/>
      <x:c r="K26" s="3" t="str">
        <x:v>owner_preference_recorded</x:v>
      </x:c>
      <x:c r="L26" s="3"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M26" s="3"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N26" s="3" t="str">
        <x:v>one_point_difference</x:v>
      </x:c>
      <x:c r="O26" s="3" t="str">
        <x:v>not_in_existing_backlog</x:v>
      </x:c>
    </x:row>
    <x:row r="27" ht="252" customHeight="1">
      <x:c r="A27" s="9" t="str">
        <x:v>sp-0018</x:v>
      </x:c>
      <x:c r="B27" s="9" t="str">
        <x:v>S3</x:v>
      </x:c>
      <x:c r="C27" s="9" t="str">
        <x:v>seed-sp-0018-v1</x:v>
      </x:c>
      <x:c r="D27" s="9" t="str">
        <x:v>independent-sp-0018-v1</x:v>
      </x:c>
      <x:c r="E27" s="9" t="str"/>
      <x:c r="F27" s="9" t="str"/>
      <x:c r="G27" s="9" t="str"/>
      <x:c r="H27" s="9" t="str"/>
      <x:c r="I27" s="9" t="str"/>
      <x:c r="J27" s="9" t="str"/>
      <x:c r="K27" s="9" t="str"/>
      <x:c r="L27" s="9"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M27" s="9"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N27" s="9" t="str">
        <x:v>exact_agreement</x:v>
      </x:c>
      <x:c r="O27" s="9" t="str">
        <x:v>not_in_existing_backlog</x:v>
      </x:c>
    </x:row>
    <x:row r="28" ht="252" customHeight="1">
      <x:c r="A28" s="3" t="str">
        <x:v>sp-0018</x:v>
      </x:c>
      <x:c r="B28" s="3" t="str">
        <x:v>S4</x:v>
      </x:c>
      <x:c r="C28" s="3" t="str">
        <x:v>seed-sp-0018-v1</x:v>
      </x:c>
      <x:c r="D28" s="3" t="str">
        <x:v>independent-sp-0018-v1</x:v>
      </x:c>
      <x:c r="E28" s="3" t="str"/>
      <x:c r="F28" s="3" t="str"/>
      <x:c r="G28" s="3" t="str"/>
      <x:c r="H28" s="3" t="str"/>
      <x:c r="I28" s="3" t="str"/>
      <x:c r="J28" s="3" t="str"/>
      <x:c r="K28" s="3" t="str"/>
      <x:c r="L28" s="3"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M28" s="3"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N28" s="3" t="str">
        <x:v>exact_agreement</x:v>
      </x:c>
      <x:c r="O28" s="3" t="str">
        <x:v>not_in_existing_backlog</x:v>
      </x:c>
    </x:row>
    <x:row r="29" ht="252" customHeight="1">
      <x:c r="A29" s="9" t="str">
        <x:v>sp-0018</x:v>
      </x:c>
      <x:c r="B29" s="9" t="str">
        <x:v>S5</x:v>
      </x:c>
      <x:c r="C29" s="9" t="str">
        <x:v>seed-sp-0018-v1</x:v>
      </x:c>
      <x:c r="D29" s="9" t="str">
        <x:v>independent-sp-0018-v1</x:v>
      </x:c>
      <x:c r="E29" s="9" t="str"/>
      <x:c r="F29" s="9" t="str"/>
      <x:c r="G29" s="9" t="str"/>
      <x:c r="H29" s="9" t="str"/>
      <x:c r="I29" s="9" t="str"/>
      <x:c r="J29" s="9" t="str"/>
      <x:c r="K29" s="9" t="str"/>
      <x:c r="L29" s="9"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M29" s="9"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N29" s="9" t="str">
        <x:v>exact_agreement</x:v>
      </x:c>
      <x:c r="O29" s="9" t="str">
        <x:v>not_in_existing_backlog</x:v>
      </x:c>
    </x:row>
    <x:row r="30" ht="236" customHeight="1">
      <x:c r="A30" s="3" t="str">
        <x:v>sp-0019</x:v>
      </x:c>
      <x:c r="B30" s="3" t="str">
        <x:v>S1</x:v>
      </x:c>
      <x:c r="C30" s="3" t="str">
        <x:v>seed-sp-0019-v1</x:v>
      </x:c>
      <x:c r="D30" s="3" t="str">
        <x:v>independent-sp-0019-v1</x:v>
      </x:c>
      <x:c r="E30" s="3" t="str"/>
      <x:c r="F30" s="3" t="str"/>
      <x:c r="G30" s="3" t="str"/>
      <x:c r="H30" s="3" t="str"/>
      <x:c r="I30" s="3" t="str"/>
      <x:c r="J30" s="3" t="str"/>
      <x:c r="K30" s="3" t="str"/>
      <x:c r="L30" s="3" t="str">
        <x:v>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x:v>
      </x:c>
      <x:c r="M30" s="3" t="str">
        <x:v>S1: 2 — discovery and screening combine computational inference with physical synthesis, exposure, and characterization; S2: 2 — ordinary material screen cycles are measured in weeks to months; S3 cost: 2 — individual screens require samples and specialized equipment but remain repeatable; S3 throughput: multiple candidates can run in parallel, while access to tokamak-relevant environments constrains throughput; S4: 2 — synthesis and testing impose meaningful physical delay without the formal qualification floor dominating; S5: 3 — Intermediate judgment: screening errors are usually reversible through reruns, but can waste scarce samples or prematurely discard candidates; scope caveat: excludes formal qualification, component fabrication, and production-scale supply.</x:v>
      </x:c>
      <x:c r="N30" s="3" t="str">
        <x:v>one_point_difference</x:v>
      </x:c>
      <x:c r="O30" s="3" t="str">
        <x:v>not_in_existing_backlog</x:v>
      </x:c>
    </x:row>
    <x:row r="31" ht="236" customHeight="1">
      <x:c r="A31" s="9" t="str">
        <x:v>sp-0019</x:v>
      </x:c>
      <x:c r="B31" s="9" t="str">
        <x:v>S2</x:v>
      </x:c>
      <x:c r="C31" s="9" t="str">
        <x:v>seed-sp-0019-v1</x:v>
      </x:c>
      <x:c r="D31" s="9" t="str">
        <x:v>independent-sp-0019-v1</x:v>
      </x:c>
      <x:c r="E31" s="9" t="str"/>
      <x:c r="F31" s="9" t="str"/>
      <x:c r="G31" s="9" t="str"/>
      <x:c r="H31" s="9" t="str"/>
      <x:c r="I31" s="9" t="str"/>
      <x:c r="J31" s="9" t="str"/>
      <x:c r="K31" s="9" t="str"/>
      <x:c r="L31" s="9" t="str">
        <x:v>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x:v>
      </x:c>
      <x:c r="M31" s="9" t="str">
        <x:v>S1: 2 — discovery and screening combine computational inference with physical synthesis, exposure, and characterization; S2: 2 — ordinary material screen cycles are measured in weeks to months; S3 cost: 2 — individual screens require samples and specialized equipment but remain repeatable; S3 throughput: multiple candidates can run in parallel, while access to tokamak-relevant environments constrains throughput; S4: 2 — synthesis and testing impose meaningful physical delay without the formal qualification floor dominating; S5: 3 — Intermediate judgment: screening errors are usually reversible through reruns, but can waste scarce samples or prematurely discard candidates; scope caveat: excludes formal qualification, component fabrication, and production-scale supply.</x:v>
      </x:c>
      <x:c r="N31" s="9" t="str">
        <x:v>exact_agreement</x:v>
      </x:c>
      <x:c r="O31" s="9" t="str">
        <x:v>not_in_existing_backlog</x:v>
      </x:c>
    </x:row>
    <x:row r="32" ht="236" customHeight="1">
      <x:c r="A32" s="3" t="str">
        <x:v>sp-0019</x:v>
      </x:c>
      <x:c r="B32" s="3" t="str">
        <x:v>S3</x:v>
      </x:c>
      <x:c r="C32" s="3" t="str">
        <x:v>seed-sp-0019-v1</x:v>
      </x:c>
      <x:c r="D32" s="3" t="str">
        <x:v>independent-sp-0019-v1</x:v>
      </x:c>
      <x:c r="E32" s="3" t="str"/>
      <x:c r="F32" s="3" t="str"/>
      <x:c r="G32" s="3" t="str"/>
      <x:c r="H32" s="3" t="str"/>
      <x:c r="I32" s="3" t="str"/>
      <x:c r="J32" s="3" t="str"/>
      <x:c r="K32" s="3" t="str"/>
      <x:c r="L32" s="3" t="str">
        <x:v>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x:v>
      </x:c>
      <x:c r="M32" s="3" t="str">
        <x:v>S1: 2 — discovery and screening combine computational inference with physical synthesis, exposure, and characterization; S2: 2 — ordinary material screen cycles are measured in weeks to months; S3 cost: 2 — individual screens require samples and specialized equipment but remain repeatable; S3 throughput: multiple candidates can run in parallel, while access to tokamak-relevant environments constrains throughput; S4: 2 — synthesis and testing impose meaningful physical delay without the formal qualification floor dominating; S5: 3 — Intermediate judgment: screening errors are usually reversible through reruns, but can waste scarce samples or prematurely discard candidates; scope caveat: excludes formal qualification, component fabrication, and production-scale supply.</x:v>
      </x:c>
      <x:c r="N32" s="3" t="str">
        <x:v>exact_agreement</x:v>
      </x:c>
      <x:c r="O32" s="3" t="str">
        <x:v>not_in_existing_backlog</x:v>
      </x:c>
    </x:row>
    <x:row r="33" ht="236" customHeight="1">
      <x:c r="A33" s="9" t="str">
        <x:v>sp-0019</x:v>
      </x:c>
      <x:c r="B33" s="9" t="str">
        <x:v>S4</x:v>
      </x:c>
      <x:c r="C33" s="9" t="str">
        <x:v>seed-sp-0019-v1</x:v>
      </x:c>
      <x:c r="D33" s="9" t="str">
        <x:v>independent-sp-0019-v1</x:v>
      </x:c>
      <x:c r="E33" s="9" t="str"/>
      <x:c r="F33" s="9" t="str"/>
      <x:c r="G33" s="9" t="str"/>
      <x:c r="H33" s="9" t="str"/>
      <x:c r="I33" s="9" t="str"/>
      <x:c r="J33" s="9" t="str"/>
      <x:c r="K33" s="9" t="str"/>
      <x:c r="L33" s="9" t="str">
        <x:v>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x:v>
      </x:c>
      <x:c r="M33" s="9" t="str">
        <x:v>S1: 2 — discovery and screening combine computational inference with physical synthesis, exposure, and characterization; S2: 2 — ordinary material screen cycles are measured in weeks to months; S3 cost: 2 — individual screens require samples and specialized equipment but remain repeatable; S3 throughput: multiple candidates can run in parallel, while access to tokamak-relevant environments constrains throughput; S4: 2 — synthesis and testing impose meaningful physical delay without the formal qualification floor dominating; S5: 3 — Intermediate judgment: screening errors are usually reversible through reruns, but can waste scarce samples or prematurely discard candidates; scope caveat: excludes formal qualification, component fabrication, and production-scale supply.</x:v>
      </x:c>
      <x:c r="N33" s="9" t="str">
        <x:v>exact_agreement</x:v>
      </x:c>
      <x:c r="O33" s="9" t="str">
        <x:v>not_in_existing_backlog</x:v>
      </x:c>
    </x:row>
    <x:row r="34" ht="236" customHeight="1">
      <x:c r="A34" s="3" t="str">
        <x:v>sp-0019</x:v>
      </x:c>
      <x:c r="B34" s="3" t="str">
        <x:v>S5</x:v>
      </x:c>
      <x:c r="C34" s="3" t="str">
        <x:v>seed-sp-0019-v1</x:v>
      </x:c>
      <x:c r="D34" s="3" t="str">
        <x:v>independent-sp-0019-v1</x:v>
      </x:c>
      <x:c r="E34" s="3" t="str"/>
      <x:c r="F34" s="3" t="str"/>
      <x:c r="G34" s="3" t="str"/>
      <x:c r="H34" s="3" t="str"/>
      <x:c r="I34" s="3" t="str"/>
      <x:c r="J34" s="3" t="str"/>
      <x:c r="K34" s="3" t="str"/>
      <x:c r="L34" s="3" t="str">
        <x:v>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x:v>
      </x:c>
      <x:c r="M34" s="3" t="str">
        <x:v>S1: 2 — discovery and screening combine computational inference with physical synthesis, exposure, and characterization; S2: 2 — ordinary material screen cycles are measured in weeks to months; S3 cost: 2 — individual screens require samples and specialized equipment but remain repeatable; S3 throughput: multiple candidates can run in parallel, while access to tokamak-relevant environments constrains throughput; S4: 2 — synthesis and testing impose meaningful physical delay without the formal qualification floor dominating; S5: 3 — Intermediate judgment: screening errors are usually reversible through reruns, but can waste scarce samples or prematurely discard candidates; scope caveat: excludes formal qualification, component fabrication, and production-scale supply.</x:v>
      </x:c>
      <x:c r="N34" s="3" t="str">
        <x:v>exact_agreement</x:v>
      </x:c>
      <x:c r="O34" s="3" t="str">
        <x:v>not_in_existing_backlog</x:v>
      </x:c>
    </x:row>
    <x:row r="35" ht="252" customHeight="1">
      <x:c r="A35" s="9" t="str">
        <x:v>sp-0020</x:v>
      </x:c>
      <x:c r="B35" s="9" t="str">
        <x:v>S1</x:v>
      </x:c>
      <x:c r="C35" s="9" t="str">
        <x:v>seed-sp-0020-v1</x:v>
      </x:c>
      <x:c r="D35" s="9" t="str">
        <x:v>independent-sp-0020-v1</x:v>
      </x:c>
      <x:c r="E35" s="9" t="str"/>
      <x:c r="F35" s="9" t="str"/>
      <x:c r="G35" s="9" t="str"/>
      <x:c r="H35" s="9" t="str"/>
      <x:c r="I35" s="9" t="str"/>
      <x:c r="J35" s="9" t="str"/>
      <x:c r="K35" s="9" t="str"/>
      <x:c r="L35" s="9"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M35" s="9"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N35" s="9" t="str">
        <x:v>one_point_difference</x:v>
      </x:c>
      <x:c r="O35" s="9" t="str">
        <x:v>not_in_existing_backlog</x:v>
      </x:c>
    </x:row>
    <x:row r="36" ht="252" customHeight="1">
      <x:c r="A36" s="3" t="str">
        <x:v>sp-0020</x:v>
      </x:c>
      <x:c r="B36" s="3" t="str">
        <x:v>S2</x:v>
      </x:c>
      <x:c r="C36" s="3" t="str">
        <x:v>seed-sp-0020-v1</x:v>
      </x:c>
      <x:c r="D36" s="3" t="str">
        <x:v>independent-sp-0020-v1</x:v>
      </x:c>
      <x:c r="E36" s="3" t="str"/>
      <x:c r="F36" s="3" t="str"/>
      <x:c r="G36" s="3" t="str">
        <x:v>exc-sp-0020-s2</x:v>
      </x:c>
      <x:c r="H36" s="3" t="str">
        <x:v>needs_better_evidence</x:v>
      </x:c>
      <x:c r="I36" s="3" t="str">
        <x:v>Retain provisional S2=0 because both coders agree and the fusion evidence base points to multi-year irradiation and post-irradiation examination. Do not promote the value until qualification-facility and exposure-time sources are verified and assigned canonical source IDs.</x:v>
      </x:c>
      <x:c r="J36" s="3" t="str"/>
      <x:c r="K36" s="3" t="str">
        <x:v>unresolved</x:v>
      </x:c>
      <x:c r="L36" s="3"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M36" s="3"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N36" s="3" t="str">
        <x:v>exact_agreement</x:v>
      </x:c>
      <x:c r="O36" s="3" t="str">
        <x:v>not_in_existing_backlog</x:v>
      </x:c>
    </x:row>
    <x:row r="37" ht="252" customHeight="1">
      <x:c r="A37" s="9" t="str">
        <x:v>sp-0020</x:v>
      </x:c>
      <x:c r="B37" s="9" t="str">
        <x:v>S3</x:v>
      </x:c>
      <x:c r="C37" s="9" t="str">
        <x:v>seed-sp-0020-v1</x:v>
      </x:c>
      <x:c r="D37" s="9" t="str">
        <x:v>independent-sp-0020-v1</x:v>
      </x:c>
      <x:c r="E37" s="9" t="str"/>
      <x:c r="F37" s="9" t="str"/>
      <x:c r="G37" s="9" t="str"/>
      <x:c r="H37" s="9" t="str"/>
      <x:c r="I37" s="9" t="str"/>
      <x:c r="J37" s="9" t="str"/>
      <x:c r="K37" s="9" t="str"/>
      <x:c r="L37" s="9"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M37" s="9"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N37" s="9" t="str">
        <x:v>one_point_difference</x:v>
      </x:c>
      <x:c r="O37" s="9" t="str">
        <x:v>not_in_existing_backlog</x:v>
      </x:c>
    </x:row>
    <x:row r="38" ht="252" customHeight="1">
      <x:c r="A38" s="3" t="str">
        <x:v>sp-0020</x:v>
      </x:c>
      <x:c r="B38" s="3" t="str">
        <x:v>S4</x:v>
      </x:c>
      <x:c r="C38" s="3" t="str">
        <x:v>seed-sp-0020-v1</x:v>
      </x:c>
      <x:c r="D38" s="3" t="str">
        <x:v>independent-sp-0020-v1</x:v>
      </x:c>
      <x:c r="E38" s="3" t="str"/>
      <x:c r="F38" s="3" t="str"/>
      <x:c r="G38" s="3" t="str">
        <x:v>exc-sp-0020-s4</x:v>
      </x:c>
      <x:c r="H38" s="3" t="str">
        <x:v>needs_better_evidence</x:v>
      </x:c>
      <x:c r="I38" s="3" t="str">
        <x:v>Retain provisional S4=0 because neutron exposure, damage accumulation, cooling and post-irradiation examination are genuine physical time floors. The value is substantively well supported but cannot advance while the row has no canonical source IDs.</x:v>
      </x:c>
      <x:c r="J38" s="3" t="str"/>
      <x:c r="K38" s="3" t="str">
        <x:v>unresolved</x:v>
      </x:c>
      <x:c r="L38" s="3"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M38" s="3"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N38" s="3" t="str">
        <x:v>exact_agreement</x:v>
      </x:c>
      <x:c r="O38" s="3" t="str">
        <x:v>not_in_existing_backlog</x:v>
      </x:c>
    </x:row>
    <x:row r="39" ht="252" customHeight="1">
      <x:c r="A39" s="9" t="str">
        <x:v>sp-0020</x:v>
      </x:c>
      <x:c r="B39" s="9" t="str">
        <x:v>S5</x:v>
      </x:c>
      <x:c r="C39" s="9" t="str">
        <x:v>seed-sp-0020-v1</x:v>
      </x:c>
      <x:c r="D39" s="9" t="str">
        <x:v>independent-sp-0020-v1</x:v>
      </x:c>
      <x:c r="E39" s="9" t="str"/>
      <x:c r="F39" s="9" t="str"/>
      <x:c r="G39" s="9" t="str"/>
      <x:c r="H39" s="9" t="str"/>
      <x:c r="I39" s="9" t="str"/>
      <x:c r="J39" s="9" t="str"/>
      <x:c r="K39" s="9" t="str"/>
      <x:c r="L39" s="9"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M39" s="9"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N39" s="9" t="str">
        <x:v>one_point_difference</x:v>
      </x:c>
      <x:c r="O39" s="9" t="str">
        <x:v>audit_trail_retained_pending_targeted_s5_adjudication</x:v>
      </x:c>
    </x:row>
    <x:row r="40" ht="252" customHeight="1">
      <x:c r="A40" s="3" t="str">
        <x:v>sp-0021</x:v>
      </x:c>
      <x:c r="B40" s="3" t="str">
        <x:v>S1</x:v>
      </x:c>
      <x:c r="C40" s="3" t="str">
        <x:v>seed-sp-0021-v1</x:v>
      </x:c>
      <x:c r="D40" s="3" t="str">
        <x:v>independent-sp-0021-v1</x:v>
      </x:c>
      <x:c r="E40" s="3" t="str"/>
      <x:c r="F40" s="3" t="str"/>
      <x:c r="G40" s="3" t="str"/>
      <x:c r="H40" s="3" t="str"/>
      <x:c r="I40" s="3" t="str"/>
      <x:c r="J40" s="3" t="str"/>
      <x:c r="K40" s="3" t="str"/>
      <x:c r="L40" s="3" t="str">
        <x:v>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x:v>
      </x:c>
      <x:c r="M40" s="3" t="str">
        <x:v>S1: 2 — magnet progress combines electromagnetic and systems engineering with prototype hardware testing and pre-integration; S2: 1 — Intermediate judgment: significant magnet iterations often take months to years, slower than the weeks-to-months anchor but not inherently decade-scale; S3 cost: 1 — Intermediate judgment: analyses are cheap relative to large prototype and cryogenic tests, which are costly; S3 throughput: subcomponents can proceed in parallel, while full-scale test capacity is scarce; S4: 1 — Intermediate judgment: fabrication, cooldown, energization, and test floors dominate much of elapsed time but not all design work; S5: 1 — Intermediate judgment: failures can damage high-value equipment and create stored-energy hazards, though pre-integration safeguards limit exposure; scope caveat: design, engineering, testing, and pre-integration only, excluding mature fabrication and site construction.</x:v>
      </x:c>
      <x:c r="N40" s="3" t="str">
        <x:v>exact_agreement</x:v>
      </x:c>
      <x:c r="O40" s="3" t="str">
        <x:v>not_in_existing_backlog</x:v>
      </x:c>
    </x:row>
    <x:row r="41" ht="252" customHeight="1">
      <x:c r="A41" s="9" t="str">
        <x:v>sp-0021</x:v>
      </x:c>
      <x:c r="B41" s="9" t="str">
        <x:v>S2</x:v>
      </x:c>
      <x:c r="C41" s="9" t="str">
        <x:v>seed-sp-0021-v1</x:v>
      </x:c>
      <x:c r="D41" s="9" t="str">
        <x:v>independent-sp-0021-v1</x:v>
      </x:c>
      <x:c r="E41" s="9" t="str"/>
      <x:c r="F41" s="9" t="str"/>
      <x:c r="G41" s="9" t="str"/>
      <x:c r="H41" s="9" t="str"/>
      <x:c r="I41" s="9" t="str"/>
      <x:c r="J41" s="9" t="str"/>
      <x:c r="K41" s="9" t="str"/>
      <x:c r="L41" s="9" t="str">
        <x:v>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x:v>
      </x:c>
      <x:c r="M41" s="9" t="str">
        <x:v>S1: 2 — magnet progress combines electromagnetic and systems engineering with prototype hardware testing and pre-integration; S2: 1 — Intermediate judgment: significant magnet iterations often take months to years, slower than the weeks-to-months anchor but not inherently decade-scale; S3 cost: 1 — Intermediate judgment: analyses are cheap relative to large prototype and cryogenic tests, which are costly; S3 throughput: subcomponents can proceed in parallel, while full-scale test capacity is scarce; S4: 1 — Intermediate judgment: fabrication, cooldown, energization, and test floors dominate much of elapsed time but not all design work; S5: 1 — Intermediate judgment: failures can damage high-value equipment and create stored-energy hazards, though pre-integration safeguards limit exposure; scope caveat: design, engineering, testing, and pre-integration only, excluding mature fabrication and site construction.</x:v>
      </x:c>
      <x:c r="N41" s="9" t="str">
        <x:v>exact_agreement</x:v>
      </x:c>
      <x:c r="O41" s="9" t="str">
        <x:v>not_in_existing_backlog</x:v>
      </x:c>
    </x:row>
    <x:row r="42" ht="252" customHeight="1">
      <x:c r="A42" s="3" t="str">
        <x:v>sp-0021</x:v>
      </x:c>
      <x:c r="B42" s="3" t="str">
        <x:v>S3</x:v>
      </x:c>
      <x:c r="C42" s="3" t="str">
        <x:v>seed-sp-0021-v1</x:v>
      </x:c>
      <x:c r="D42" s="3" t="str">
        <x:v>independent-sp-0021-v1</x:v>
      </x:c>
      <x:c r="E42" s="3" t="str"/>
      <x:c r="F42" s="3" t="str"/>
      <x:c r="G42" s="3" t="str"/>
      <x:c r="H42" s="3" t="str"/>
      <x:c r="I42" s="3" t="str"/>
      <x:c r="J42" s="3" t="str"/>
      <x:c r="K42" s="3" t="str"/>
      <x:c r="L42" s="3" t="str">
        <x:v>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x:v>
      </x:c>
      <x:c r="M42" s="3" t="str">
        <x:v>S1: 2 — magnet progress combines electromagnetic and systems engineering with prototype hardware testing and pre-integration; S2: 1 — Intermediate judgment: significant magnet iterations often take months to years, slower than the weeks-to-months anchor but not inherently decade-scale; S3 cost: 1 — Intermediate judgment: analyses are cheap relative to large prototype and cryogenic tests, which are costly; S3 throughput: subcomponents can proceed in parallel, while full-scale test capacity is scarce; S4: 1 — Intermediate judgment: fabrication, cooldown, energization, and test floors dominate much of elapsed time but not all design work; S5: 1 — Intermediate judgment: failures can damage high-value equipment and create stored-energy hazards, though pre-integration safeguards limit exposure; scope caveat: design, engineering, testing, and pre-integration only, excluding mature fabrication and site construction.</x:v>
      </x:c>
      <x:c r="N42" s="3" t="str">
        <x:v>exact_agreement</x:v>
      </x:c>
      <x:c r="O42" s="3" t="str">
        <x:v>not_in_existing_backlog</x:v>
      </x:c>
    </x:row>
    <x:row r="43" ht="252" customHeight="1">
      <x:c r="A43" s="9" t="str">
        <x:v>sp-0021</x:v>
      </x:c>
      <x:c r="B43" s="9" t="str">
        <x:v>S4</x:v>
      </x:c>
      <x:c r="C43" s="9" t="str">
        <x:v>seed-sp-0021-v1</x:v>
      </x:c>
      <x:c r="D43" s="9" t="str">
        <x:v>independent-sp-0021-v1</x:v>
      </x:c>
      <x:c r="E43" s="9" t="str"/>
      <x:c r="F43" s="9" t="str"/>
      <x:c r="G43" s="9" t="str"/>
      <x:c r="H43" s="9" t="str"/>
      <x:c r="I43" s="9" t="str"/>
      <x:c r="J43" s="9" t="str"/>
      <x:c r="K43" s="9" t="str"/>
      <x:c r="L43" s="9" t="str">
        <x:v>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x:v>
      </x:c>
      <x:c r="M43" s="9" t="str">
        <x:v>S1: 2 — magnet progress combines electromagnetic and systems engineering with prototype hardware testing and pre-integration; S2: 1 — Intermediate judgment: significant magnet iterations often take months to years, slower than the weeks-to-months anchor but not inherently decade-scale; S3 cost: 1 — Intermediate judgment: analyses are cheap relative to large prototype and cryogenic tests, which are costly; S3 throughput: subcomponents can proceed in parallel, while full-scale test capacity is scarce; S4: 1 — Intermediate judgment: fabrication, cooldown, energization, and test floors dominate much of elapsed time but not all design work; S5: 1 — Intermediate judgment: failures can damage high-value equipment and create stored-energy hazards, though pre-integration safeguards limit exposure; scope caveat: design, engineering, testing, and pre-integration only, excluding mature fabrication and site construction.</x:v>
      </x:c>
      <x:c r="N43" s="9" t="str">
        <x:v>exact_agreement</x:v>
      </x:c>
      <x:c r="O43" s="9" t="str">
        <x:v>not_in_existing_backlog</x:v>
      </x:c>
    </x:row>
    <x:row r="44" ht="252" customHeight="1">
      <x:c r="A44" s="3" t="str">
        <x:v>sp-0021</x:v>
      </x:c>
      <x:c r="B44" s="3" t="str">
        <x:v>S5</x:v>
      </x:c>
      <x:c r="C44" s="3" t="str">
        <x:v>seed-sp-0021-v1</x:v>
      </x:c>
      <x:c r="D44" s="3" t="str">
        <x:v>independent-sp-0021-v1</x:v>
      </x:c>
      <x:c r="E44" s="3" t="str"/>
      <x:c r="F44" s="3" t="str"/>
      <x:c r="G44" s="3" t="str"/>
      <x:c r="H44" s="3" t="str"/>
      <x:c r="I44" s="3" t="str"/>
      <x:c r="J44" s="3" t="str"/>
      <x:c r="K44" s="3" t="str"/>
      <x:c r="L44" s="3" t="str">
        <x:v>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x:v>
      </x:c>
      <x:c r="M44" s="3" t="str">
        <x:v>S1: 2 — magnet progress combines electromagnetic and systems engineering with prototype hardware testing and pre-integration; S2: 1 — Intermediate judgment: significant magnet iterations often take months to years, slower than the weeks-to-months anchor but not inherently decade-scale; S3 cost: 1 — Intermediate judgment: analyses are cheap relative to large prototype and cryogenic tests, which are costly; S3 throughput: subcomponents can proceed in parallel, while full-scale test capacity is scarce; S4: 1 — Intermediate judgment: fabrication, cooldown, energization, and test floors dominate much of elapsed time but not all design work; S5: 1 — Intermediate judgment: failures can damage high-value equipment and create stored-energy hazards, though pre-integration safeguards limit exposure; scope caveat: design, engineering, testing, and pre-integration only, excluding mature fabrication and site construction.</x:v>
      </x:c>
      <x:c r="N44" s="3" t="str">
        <x:v>exact_agreement</x:v>
      </x:c>
      <x:c r="O44" s="3" t="str">
        <x:v>not_in_existing_backlog</x:v>
      </x:c>
    </x:row>
    <x:row r="45" ht="236" customHeight="1">
      <x:c r="A45" s="9" t="str">
        <x:v>sp-0022</x:v>
      </x:c>
      <x:c r="B45" s="9" t="str">
        <x:v>S1</x:v>
      </x:c>
      <x:c r="C45" s="9" t="str">
        <x:v>seed-sp-0022-v1</x:v>
      </x:c>
      <x:c r="D45" s="9" t="str">
        <x:v>independent-sp-0022-v1</x:v>
      </x:c>
      <x:c r="E45" s="9" t="str"/>
      <x:c r="F45" s="9" t="str"/>
      <x:c r="G45" s="9" t="str"/>
      <x:c r="H45" s="9" t="str"/>
      <x:c r="I45" s="9" t="str"/>
      <x:c r="J45" s="9" t="str"/>
      <x:c r="K45" s="9" t="str"/>
      <x:c r="L45" s="9" t="str">
        <x:v>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x:v>
      </x:c>
      <x:c r="M45" s="9" t="str">
        <x:v>S1: 2 — heating and current-drive work combines modelling and control engineering with high-power physical hardware tests; S2: 1 — Intermediate judgment: subsystem revisions commonly take months to years; S3 cost: 1 — Intermediate judgment: component analyses are affordable, but integrated high-power tests require costly equipment and facilities; S3 throughput: some module work is parallel, while specialized test stands and integration slots constrain throughput; S4: 1 — Intermediate judgment: fabrication, conditioning, and high-power test sequences dominate much of elapsed time; S5: 1 — Intermediate judgment: errors can damage equipment or create electrical and operational hazards, while staged testing often contains them; scope caveat: pre-integration development only, not mature fabrication or integrated commissioning.</x:v>
      </x:c>
      <x:c r="N45" s="9" t="str">
        <x:v>exact_agreement</x:v>
      </x:c>
      <x:c r="O45" s="9" t="str">
        <x:v>not_in_existing_backlog</x:v>
      </x:c>
    </x:row>
    <x:row r="46" ht="236" customHeight="1">
      <x:c r="A46" s="3" t="str">
        <x:v>sp-0022</x:v>
      </x:c>
      <x:c r="B46" s="3" t="str">
        <x:v>S2</x:v>
      </x:c>
      <x:c r="C46" s="3" t="str">
        <x:v>seed-sp-0022-v1</x:v>
      </x:c>
      <x:c r="D46" s="3" t="str">
        <x:v>independent-sp-0022-v1</x:v>
      </x:c>
      <x:c r="E46" s="3" t="str"/>
      <x:c r="F46" s="3" t="str"/>
      <x:c r="G46" s="3" t="str"/>
      <x:c r="H46" s="3" t="str"/>
      <x:c r="I46" s="3" t="str"/>
      <x:c r="J46" s="3" t="str"/>
      <x:c r="K46" s="3" t="str"/>
      <x:c r="L46" s="3" t="str">
        <x:v>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x:v>
      </x:c>
      <x:c r="M46" s="3" t="str">
        <x:v>S1: 2 — heating and current-drive work combines modelling and control engineering with high-power physical hardware tests; S2: 1 — Intermediate judgment: subsystem revisions commonly take months to years; S3 cost: 1 — Intermediate judgment: component analyses are affordable, but integrated high-power tests require costly equipment and facilities; S3 throughput: some module work is parallel, while specialized test stands and integration slots constrain throughput; S4: 1 — Intermediate judgment: fabrication, conditioning, and high-power test sequences dominate much of elapsed time; S5: 1 — Intermediate judgment: errors can damage equipment or create electrical and operational hazards, while staged testing often contains them; scope caveat: pre-integration development only, not mature fabrication or integrated commissioning.</x:v>
      </x:c>
      <x:c r="N46" s="3" t="str">
        <x:v>one_point_difference</x:v>
      </x:c>
      <x:c r="O46" s="3" t="str">
        <x:v>not_in_existing_backlog</x:v>
      </x:c>
    </x:row>
    <x:row r="47" ht="236" customHeight="1">
      <x:c r="A47" s="9" t="str">
        <x:v>sp-0022</x:v>
      </x:c>
      <x:c r="B47" s="9" t="str">
        <x:v>S3</x:v>
      </x:c>
      <x:c r="C47" s="9" t="str">
        <x:v>seed-sp-0022-v1</x:v>
      </x:c>
      <x:c r="D47" s="9" t="str">
        <x:v>independent-sp-0022-v1</x:v>
      </x:c>
      <x:c r="E47" s="9" t="str"/>
      <x:c r="F47" s="9" t="str"/>
      <x:c r="G47" s="9" t="str"/>
      <x:c r="H47" s="9" t="str"/>
      <x:c r="I47" s="9" t="str"/>
      <x:c r="J47" s="9" t="str"/>
      <x:c r="K47" s="9" t="str"/>
      <x:c r="L47" s="9" t="str">
        <x:v>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x:v>
      </x:c>
      <x:c r="M47" s="9" t="str">
        <x:v>S1: 2 — heating and current-drive work combines modelling and control engineering with high-power physical hardware tests; S2: 1 — Intermediate judgment: subsystem revisions commonly take months to years; S3 cost: 1 — Intermediate judgment: component analyses are affordable, but integrated high-power tests require costly equipment and facilities; S3 throughput: some module work is parallel, while specialized test stands and integration slots constrain throughput; S4: 1 — Intermediate judgment: fabrication, conditioning, and high-power test sequences dominate much of elapsed time; S5: 1 — Intermediate judgment: errors can damage equipment or create electrical and operational hazards, while staged testing often contains them; scope caveat: pre-integration development only, not mature fabrication or integrated commissioning.</x:v>
      </x:c>
      <x:c r="N47" s="9" t="str">
        <x:v>exact_agreement</x:v>
      </x:c>
      <x:c r="O47" s="9" t="str">
        <x:v>not_in_existing_backlog</x:v>
      </x:c>
    </x:row>
    <x:row r="48" ht="236" customHeight="1">
      <x:c r="A48" s="3" t="str">
        <x:v>sp-0022</x:v>
      </x:c>
      <x:c r="B48" s="3" t="str">
        <x:v>S4</x:v>
      </x:c>
      <x:c r="C48" s="3" t="str">
        <x:v>seed-sp-0022-v1</x:v>
      </x:c>
      <x:c r="D48" s="3" t="str">
        <x:v>independent-sp-0022-v1</x:v>
      </x:c>
      <x:c r="E48" s="3" t="str"/>
      <x:c r="F48" s="3" t="str"/>
      <x:c r="G48" s="3" t="str"/>
      <x:c r="H48" s="3" t="str"/>
      <x:c r="I48" s="3" t="str"/>
      <x:c r="J48" s="3" t="str"/>
      <x:c r="K48" s="3" t="str"/>
      <x:c r="L48" s="3" t="str">
        <x:v>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x:v>
      </x:c>
      <x:c r="M48" s="3" t="str">
        <x:v>S1: 2 — heating and current-drive work combines modelling and control engineering with high-power physical hardware tests; S2: 1 — Intermediate judgment: subsystem revisions commonly take months to years; S3 cost: 1 — Intermediate judgment: component analyses are affordable, but integrated high-power tests require costly equipment and facilities; S3 throughput: some module work is parallel, while specialized test stands and integration slots constrain throughput; S4: 1 — Intermediate judgment: fabrication, conditioning, and high-power test sequences dominate much of elapsed time; S5: 1 — Intermediate judgment: errors can damage equipment or create electrical and operational hazards, while staged testing often contains them; scope caveat: pre-integration development only, not mature fabrication or integrated commissioning.</x:v>
      </x:c>
      <x:c r="N48" s="3" t="str">
        <x:v>one_point_difference</x:v>
      </x:c>
      <x:c r="O48" s="3" t="str">
        <x:v>not_in_existing_backlog</x:v>
      </x:c>
    </x:row>
    <x:row r="49" ht="236" customHeight="1">
      <x:c r="A49" s="9" t="str">
        <x:v>sp-0022</x:v>
      </x:c>
      <x:c r="B49" s="9" t="str">
        <x:v>S5</x:v>
      </x:c>
      <x:c r="C49" s="9" t="str">
        <x:v>seed-sp-0022-v1</x:v>
      </x:c>
      <x:c r="D49" s="9" t="str">
        <x:v>independent-sp-0022-v1</x:v>
      </x:c>
      <x:c r="E49" s="9" t="str"/>
      <x:c r="F49" s="9" t="str"/>
      <x:c r="G49" s="9" t="str"/>
      <x:c r="H49" s="9" t="str"/>
      <x:c r="I49" s="9" t="str"/>
      <x:c r="J49" s="9" t="str"/>
      <x:c r="K49" s="9" t="str"/>
      <x:c r="L49" s="9" t="str">
        <x:v>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x:v>
      </x:c>
      <x:c r="M49" s="9" t="str">
        <x:v>S1: 2 — heating and current-drive work combines modelling and control engineering with high-power physical hardware tests; S2: 1 — Intermediate judgment: subsystem revisions commonly take months to years; S3 cost: 1 — Intermediate judgment: component analyses are affordable, but integrated high-power tests require costly equipment and facilities; S3 throughput: some module work is parallel, while specialized test stands and integration slots constrain throughput; S4: 1 — Intermediate judgment: fabrication, conditioning, and high-power test sequences dominate much of elapsed time; S5: 1 — Intermediate judgment: errors can damage equipment or create electrical and operational hazards, while staged testing often contains them; scope caveat: pre-integration development only, not mature fabrication or integrated commissioning.</x:v>
      </x:c>
      <x:c r="N49" s="9" t="str">
        <x:v>exact_agreement</x:v>
      </x:c>
      <x:c r="O49" s="9" t="str">
        <x:v>not_in_existing_backlog</x:v>
      </x:c>
    </x:row>
    <x:row r="50" ht="236" customHeight="1">
      <x:c r="A50" s="3" t="str">
        <x:v>sp-0023</x:v>
      </x:c>
      <x:c r="B50" s="3" t="str">
        <x:v>S1</x:v>
      </x:c>
      <x:c r="C50" s="3" t="str">
        <x:v>seed-sp-0023-v1</x:v>
      </x:c>
      <x:c r="D50" s="3" t="str">
        <x:v>independent-sp-0023-v1</x:v>
      </x:c>
      <x:c r="E50" s="3" t="str"/>
      <x:c r="F50" s="3" t="str"/>
      <x:c r="G50" s="3" t="str"/>
      <x:c r="H50" s="3" t="str"/>
      <x:c r="I50" s="3" t="str"/>
      <x:c r="J50" s="3" t="str"/>
      <x:c r="K50" s="3" t="str"/>
      <x:c r="L50" s="3" t="str">
        <x:v>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x:v>
      </x:c>
      <x:c r="M50" s="3"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N50" s="3" t="str">
        <x:v>exact_agreement</x:v>
      </x:c>
      <x:c r="O50" s="3" t="str">
        <x:v>not_in_existing_backlog</x:v>
      </x:c>
    </x:row>
    <x:row r="51" ht="236" customHeight="1">
      <x:c r="A51" s="9" t="str">
        <x:v>sp-0023</x:v>
      </x:c>
      <x:c r="B51" s="9" t="str">
        <x:v>S2</x:v>
      </x:c>
      <x:c r="C51" s="9" t="str">
        <x:v>seed-sp-0023-v1</x:v>
      </x:c>
      <x:c r="D51" s="9" t="str">
        <x:v>independent-sp-0023-v1</x:v>
      </x:c>
      <x:c r="E51" s="9" t="str"/>
      <x:c r="F51" s="9" t="str"/>
      <x:c r="G51" s="9" t="str"/>
      <x:c r="H51" s="9" t="str"/>
      <x:c r="I51" s="9" t="str"/>
      <x:c r="J51" s="9" t="str"/>
      <x:c r="K51" s="9" t="str"/>
      <x:c r="L51" s="9" t="str">
        <x:v>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x:v>
      </x:c>
      <x:c r="M51" s="9"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N51" s="9" t="str">
        <x:v>exact_agreement</x:v>
      </x:c>
      <x:c r="O51" s="9" t="str">
        <x:v>not_in_existing_backlog</x:v>
      </x:c>
    </x:row>
    <x:row r="52" ht="236" customHeight="1">
      <x:c r="A52" s="3" t="str">
        <x:v>sp-0023</x:v>
      </x:c>
      <x:c r="B52" s="3" t="str">
        <x:v>S3</x:v>
      </x:c>
      <x:c r="C52" s="3" t="str">
        <x:v>seed-sp-0023-v1</x:v>
      </x:c>
      <x:c r="D52" s="3" t="str">
        <x:v>independent-sp-0023-v1</x:v>
      </x:c>
      <x:c r="E52" s="3" t="str"/>
      <x:c r="F52" s="3" t="str"/>
      <x:c r="G52" s="3" t="str"/>
      <x:c r="H52" s="3" t="str"/>
      <x:c r="I52" s="3" t="str"/>
      <x:c r="J52" s="3" t="str"/>
      <x:c r="K52" s="3" t="str"/>
      <x:c r="L52" s="3" t="str">
        <x:v>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x:v>
      </x:c>
      <x:c r="M52" s="3"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N52" s="3" t="str">
        <x:v>exact_agreement</x:v>
      </x:c>
      <x:c r="O52" s="3" t="str">
        <x:v>not_in_existing_backlog</x:v>
      </x:c>
    </x:row>
    <x:row r="53" ht="236" customHeight="1">
      <x:c r="A53" s="9" t="str">
        <x:v>sp-0023</x:v>
      </x:c>
      <x:c r="B53" s="9" t="str">
        <x:v>S4</x:v>
      </x:c>
      <x:c r="C53" s="9" t="str">
        <x:v>seed-sp-0023-v1</x:v>
      </x:c>
      <x:c r="D53" s="9" t="str">
        <x:v>independent-sp-0023-v1</x:v>
      </x:c>
      <x:c r="E53" s="9" t="str"/>
      <x:c r="F53" s="9" t="str"/>
      <x:c r="G53" s="9" t="str"/>
      <x:c r="H53" s="9" t="str"/>
      <x:c r="I53" s="9" t="str"/>
      <x:c r="J53" s="9" t="str"/>
      <x:c r="K53" s="9" t="str"/>
      <x:c r="L53" s="9" t="str">
        <x:v>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x:v>
      </x:c>
      <x:c r="M53" s="9"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N53" s="9" t="str">
        <x:v>exact_agreement</x:v>
      </x:c>
      <x:c r="O53" s="9" t="str">
        <x:v>not_in_existing_backlog</x:v>
      </x:c>
    </x:row>
    <x:row r="54" ht="236" customHeight="1">
      <x:c r="A54" s="3" t="str">
        <x:v>sp-0023</x:v>
      </x:c>
      <x:c r="B54" s="3" t="str">
        <x:v>S5</x:v>
      </x:c>
      <x:c r="C54" s="3" t="str">
        <x:v>seed-sp-0023-v1</x:v>
      </x:c>
      <x:c r="D54" s="3" t="str">
        <x:v>independent-sp-0023-v1</x:v>
      </x:c>
      <x:c r="E54" s="3" t="str"/>
      <x:c r="F54" s="3" t="str"/>
      <x:c r="G54" s="3" t="str"/>
      <x:c r="H54" s="3" t="str"/>
      <x:c r="I54" s="3" t="str"/>
      <x:c r="J54" s="3" t="str"/>
      <x:c r="K54" s="3" t="str"/>
      <x:c r="L54" s="3" t="str">
        <x:v>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x:v>
      </x:c>
      <x:c r="M54" s="3"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N54" s="3" t="str">
        <x:v>one_point_difference</x:v>
      </x:c>
      <x:c r="O54" s="3" t="str">
        <x:v>audit_trail_retained_pending_targeted_s5_adjudication</x:v>
      </x:c>
    </x:row>
    <x:row r="55" ht="268" customHeight="1">
      <x:c r="A55" s="9" t="str">
        <x:v>sp-0024</x:v>
      </x:c>
      <x:c r="B55" s="9" t="str">
        <x:v>S1</x:v>
      </x:c>
      <x:c r="C55" s="9" t="str">
        <x:v>seed-sp-0024-v1</x:v>
      </x:c>
      <x:c r="D55" s="9" t="str">
        <x:v>independent-sp-0024-v1</x:v>
      </x:c>
      <x:c r="E55" s="9" t="str"/>
      <x:c r="F55" s="9" t="str"/>
      <x:c r="G55" s="9" t="str"/>
      <x:c r="H55" s="9" t="str"/>
      <x:c r="I55" s="9" t="str"/>
      <x:c r="J55" s="9" t="str"/>
      <x:c r="K55" s="9" t="str"/>
      <x:c r="L55" s="9"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M55" s="9"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N55" s="9" t="str">
        <x:v>exact_agreement</x:v>
      </x:c>
      <x:c r="O55" s="9" t="str">
        <x:v>not_in_existing_backlog</x:v>
      </x:c>
    </x:row>
    <x:row r="56" ht="268" customHeight="1">
      <x:c r="A56" s="3" t="str">
        <x:v>sp-0024</x:v>
      </x:c>
      <x:c r="B56" s="3" t="str">
        <x:v>S2</x:v>
      </x:c>
      <x:c r="C56" s="3" t="str">
        <x:v>seed-sp-0024-v1</x:v>
      </x:c>
      <x:c r="D56" s="3" t="str">
        <x:v>independent-sp-0024-v1</x:v>
      </x:c>
      <x:c r="E56" s="3" t="str"/>
      <x:c r="F56" s="3" t="str"/>
      <x:c r="G56" s="3" t="str"/>
      <x:c r="H56" s="3" t="str"/>
      <x:c r="I56" s="3" t="str"/>
      <x:c r="J56" s="3" t="str"/>
      <x:c r="K56" s="3" t="str"/>
      <x:c r="L56" s="3"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M56" s="3"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N56" s="3" t="str">
        <x:v>exact_agreement</x:v>
      </x:c>
      <x:c r="O56" s="3" t="str">
        <x:v>not_in_existing_backlog</x:v>
      </x:c>
    </x:row>
    <x:row r="57" ht="268" customHeight="1">
      <x:c r="A57" s="9" t="str">
        <x:v>sp-0024</x:v>
      </x:c>
      <x:c r="B57" s="9" t="str">
        <x:v>S3</x:v>
      </x:c>
      <x:c r="C57" s="9" t="str">
        <x:v>seed-sp-0024-v1</x:v>
      </x:c>
      <x:c r="D57" s="9" t="str">
        <x:v>independent-sp-0024-v1</x:v>
      </x:c>
      <x:c r="E57" s="9" t="str"/>
      <x:c r="F57" s="9" t="str"/>
      <x:c r="G57" s="9" t="str">
        <x:v>exc-sp-0024-s3</x:v>
      </x:c>
      <x:c r="H57" s="9" t="str">
        <x:v>prefer_seed</x:v>
      </x:c>
      <x:c r="I57" s="9" t="str">
        <x:v>Select S3=1. Direct tritium-capable tests are scarce and tightly controlled, but the broad frozen stage also includes repeatable modelling, surrogate-isotope work and subsystem tests. A low intermediate value better represents the mixed attempt set than an absolute bottom anchor.</x:v>
      </x:c>
      <x:c r="J57" s="9" t="str"/>
      <x:c r="K57" s="9" t="str">
        <x:v>owner_preference_recorded</x:v>
      </x:c>
      <x:c r="L57" s="9"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M57" s="9"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N57" s="9" t="str">
        <x:v>one_point_difference</x:v>
      </x:c>
      <x:c r="O57" s="9" t="str">
        <x:v>not_in_existing_backlog</x:v>
      </x:c>
    </x:row>
    <x:row r="58" ht="268" customHeight="1">
      <x:c r="A58" s="3" t="str">
        <x:v>sp-0024</x:v>
      </x:c>
      <x:c r="B58" s="3" t="str">
        <x:v>S4</x:v>
      </x:c>
      <x:c r="C58" s="3" t="str">
        <x:v>seed-sp-0024-v1</x:v>
      </x:c>
      <x:c r="D58" s="3" t="str">
        <x:v>independent-sp-0024-v1</x:v>
      </x:c>
      <x:c r="E58" s="3" t="str"/>
      <x:c r="F58" s="3" t="str"/>
      <x:c r="G58" s="3" t="str"/>
      <x:c r="H58" s="3" t="str"/>
      <x:c r="I58" s="3" t="str"/>
      <x:c r="J58" s="3" t="str"/>
      <x:c r="K58" s="3" t="str"/>
      <x:c r="L58" s="3"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M58" s="3"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N58" s="3" t="str">
        <x:v>exact_agreement</x:v>
      </x:c>
      <x:c r="O58" s="3" t="str">
        <x:v>not_in_existing_backlog</x:v>
      </x:c>
    </x:row>
    <x:row r="59" ht="268" customHeight="1">
      <x:c r="A59" s="9" t="str">
        <x:v>sp-0024</x:v>
      </x:c>
      <x:c r="B59" s="9" t="str">
        <x:v>S5</x:v>
      </x:c>
      <x:c r="C59" s="9" t="str">
        <x:v>seed-sp-0024-v1</x:v>
      </x:c>
      <x:c r="D59" s="9" t="str">
        <x:v>independent-sp-0024-v1</x:v>
      </x:c>
      <x:c r="E59" s="9" t="str"/>
      <x:c r="F59" s="9" t="str"/>
      <x:c r="G59" s="9" t="str">
        <x:v>exc-sp-0024-s5</x:v>
      </x:c>
      <x:c r="H59" s="9" t="str">
        <x:v>prefer_seed</x:v>
      </x:c>
      <x:c r="I59" s="9" t="str">
        <x:v>Select S5=1. Tritium-accountancy, containment or release errors can have serious radiological and regulatory consequences, but development-stage work is conducted through layered containment and many errors remain detectable and recoverable. S5=0 overgeneralizes the worst case to every error.</x:v>
      </x:c>
      <x:c r="J59" s="9" t="str"/>
      <x:c r="K59" s="9" t="str">
        <x:v>owner_preference_recorded</x:v>
      </x:c>
      <x:c r="L59" s="9"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M59" s="9"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N59" s="9" t="str">
        <x:v>one_point_difference</x:v>
      </x:c>
      <x:c r="O59" s="9" t="str">
        <x:v>owner_disposition_recorded_pending_targeted_s5_adjudication</x:v>
      </x:c>
    </x:row>
    <x:row r="60" ht="252" customHeight="1">
      <x:c r="A60" s="3" t="str">
        <x:v>sp-0025</x:v>
      </x:c>
      <x:c r="B60" s="3" t="str">
        <x:v>S1</x:v>
      </x:c>
      <x:c r="C60" s="3" t="str">
        <x:v>seed-sp-0025-v1</x:v>
      </x:c>
      <x:c r="D60" s="3" t="str">
        <x:v>independent-sp-0025-v1</x:v>
      </x:c>
      <x:c r="E60" s="3" t="str"/>
      <x:c r="F60" s="3" t="str"/>
      <x:c r="G60" s="3" t="str"/>
      <x:c r="H60" s="3" t="str"/>
      <x:c r="I60" s="3" t="str"/>
      <x:c r="J60" s="3" t="str"/>
      <x:c r="K60" s="3" t="str"/>
      <x:c r="L60" s="3"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M60" s="3"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N60" s="3" t="str">
        <x:v>exact_agreement</x:v>
      </x:c>
      <x:c r="O60" s="3" t="str">
        <x:v>not_in_existing_backlog</x:v>
      </x:c>
    </x:row>
    <x:row r="61" ht="252" customHeight="1">
      <x:c r="A61" s="9" t="str">
        <x:v>sp-0025</x:v>
      </x:c>
      <x:c r="B61" s="9" t="str">
        <x:v>S2</x:v>
      </x:c>
      <x:c r="C61" s="9" t="str">
        <x:v>seed-sp-0025-v1</x:v>
      </x:c>
      <x:c r="D61" s="9" t="str">
        <x:v>independent-sp-0025-v1</x:v>
      </x:c>
      <x:c r="E61" s="9" t="str"/>
      <x:c r="F61" s="9" t="str"/>
      <x:c r="G61" s="9" t="str">
        <x:v>exc-sp-0025-s2</x:v>
      </x:c>
      <x:c r="H61" s="9" t="str">
        <x:v>prefer_seed</x:v>
      </x:c>
      <x:c r="I61" s="9" t="str">
        <x:v>Select S2=0. The decision-relevant loop is integrated blanket and tritium-breeding validation in a fusion-relevant neutron environment. That loop is measured in years and is not yet available at power-plant scale; faster analysis and subcomponent tests do not close it.</x:v>
      </x:c>
      <x:c r="J61" s="9" t="str"/>
      <x:c r="K61" s="9" t="str">
        <x:v>owner_preference_recorded</x:v>
      </x:c>
      <x:c r="L61" s="9"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M61" s="9"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N61" s="9" t="str">
        <x:v>one_point_difference</x:v>
      </x:c>
      <x:c r="O61" s="9" t="str">
        <x:v>not_in_existing_backlog</x:v>
      </x:c>
    </x:row>
    <x:row r="62" ht="252" customHeight="1">
      <x:c r="A62" s="3" t="str">
        <x:v>sp-0025</x:v>
      </x:c>
      <x:c r="B62" s="3" t="str">
        <x:v>S3</x:v>
      </x:c>
      <x:c r="C62" s="3" t="str">
        <x:v>seed-sp-0025-v1</x:v>
      </x:c>
      <x:c r="D62" s="3" t="str">
        <x:v>independent-sp-0025-v1</x:v>
      </x:c>
      <x:c r="E62" s="3" t="str"/>
      <x:c r="F62" s="3" t="str"/>
      <x:c r="G62" s="3" t="str"/>
      <x:c r="H62" s="3" t="str"/>
      <x:c r="I62" s="3" t="str"/>
      <x:c r="J62" s="3" t="str"/>
      <x:c r="K62" s="3" t="str"/>
      <x:c r="L62" s="3"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M62" s="3"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N62" s="3" t="str">
        <x:v>exact_agreement</x:v>
      </x:c>
      <x:c r="O62" s="3" t="str">
        <x:v>not_in_existing_backlog</x:v>
      </x:c>
    </x:row>
    <x:row r="63" ht="252" customHeight="1">
      <x:c r="A63" s="9" t="str">
        <x:v>sp-0025</x:v>
      </x:c>
      <x:c r="B63" s="9" t="str">
        <x:v>S4</x:v>
      </x:c>
      <x:c r="C63" s="9" t="str">
        <x:v>seed-sp-0025-v1</x:v>
      </x:c>
      <x:c r="D63" s="9" t="str">
        <x:v>independent-sp-0025-v1</x:v>
      </x:c>
      <x:c r="E63" s="9" t="str"/>
      <x:c r="F63" s="9" t="str"/>
      <x:c r="G63" s="9" t="str"/>
      <x:c r="H63" s="9" t="str"/>
      <x:c r="I63" s="9" t="str"/>
      <x:c r="J63" s="9" t="str"/>
      <x:c r="K63" s="9" t="str"/>
      <x:c r="L63" s="9"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M63" s="9"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N63" s="9" t="str">
        <x:v>exact_agreement</x:v>
      </x:c>
      <x:c r="O63" s="9" t="str">
        <x:v>not_in_existing_backlog</x:v>
      </x:c>
    </x:row>
    <x:row r="64" ht="252" customHeight="1">
      <x:c r="A64" s="3" t="str">
        <x:v>sp-0025</x:v>
      </x:c>
      <x:c r="B64" s="3" t="str">
        <x:v>S5</x:v>
      </x:c>
      <x:c r="C64" s="3" t="str">
        <x:v>seed-sp-0025-v1</x:v>
      </x:c>
      <x:c r="D64" s="3" t="str">
        <x:v>independent-sp-0025-v1</x:v>
      </x:c>
      <x:c r="E64" s="3" t="str"/>
      <x:c r="F64" s="3" t="str"/>
      <x:c r="G64" s="3" t="str">
        <x:v>exc-sp-0025-s5</x:v>
      </x:c>
      <x:c r="H64" s="3" t="str">
        <x:v>prefer_seed</x:v>
      </x:c>
      <x:c r="I64" s="3" t="str">
        <x:v>Select S5=1. Blanket errors can affect heat removal, tritium functions and radiological safety, but the scoped stage is design, testing and pre-integration, where staged experiments and review contain many failures. The consequences are very serious without making every error catastrophic or irreversible.</x:v>
      </x:c>
      <x:c r="J64" s="3" t="str"/>
      <x:c r="K64" s="3" t="str">
        <x:v>owner_preference_recorded</x:v>
      </x:c>
      <x:c r="L64" s="3"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M64" s="3"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N64" s="3" t="str">
        <x:v>one_point_difference</x:v>
      </x:c>
      <x:c r="O64" s="3" t="str">
        <x:v>owner_disposition_recorded_pending_targeted_s5_adjudication</x:v>
      </x:c>
    </x:row>
    <x:row r="65" ht="220" customHeight="1">
      <x:c r="A65" s="9" t="str">
        <x:v>sp-0026</x:v>
      </x:c>
      <x:c r="B65" s="9" t="str">
        <x:v>S1</x:v>
      </x:c>
      <x:c r="C65" s="9" t="str">
        <x:v>seed-sp-0026-v1</x:v>
      </x:c>
      <x:c r="D65" s="9" t="str">
        <x:v>independent-sp-0026-v1</x:v>
      </x:c>
      <x:c r="E65" s="9" t="str"/>
      <x:c r="F65" s="9" t="str"/>
      <x:c r="G65" s="9" t="str"/>
      <x:c r="H65" s="9" t="str"/>
      <x:c r="I65" s="9" t="str"/>
      <x:c r="J65" s="9" t="str"/>
      <x:c r="K65" s="9" t="str"/>
      <x:c r="L65" s="9" t="str">
        <x:v>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x:v>
      </x:c>
      <x:c r="M65" s="9" t="str">
        <x:v>S1: 0 — progress occurs primarily through physical fabrication, joining, assembly, and inspection after design maturity; S2: 1 — Intermediate judgment: bespoke pilot-component fabrication iterations often take months to years; S3 cost: 0 — full component attempts consume high-value material, specialist labor, and scarce equipment; S3 throughput: large custom components are capacity-limited and predominantly serial even when subparts run in parallel; S4: 0 — fabrication, treatment, joining, and inspection floors dominate elapsed time; S5: 1 — Intermediate judgment: defects can be irreparable or require scrapping high-value parts, while inspection may contain them before installation; scope caveat: pilot components after design maturity, excluding earlier qualification and commercial-fleet production.</x:v>
      </x:c>
      <x:c r="N65" s="9" t="str">
        <x:v>one_point_difference</x:v>
      </x:c>
      <x:c r="O65" s="9" t="str">
        <x:v>not_in_existing_backlog</x:v>
      </x:c>
    </x:row>
    <x:row r="66" ht="220" customHeight="1">
      <x:c r="A66" s="3" t="str">
        <x:v>sp-0026</x:v>
      </x:c>
      <x:c r="B66" s="3" t="str">
        <x:v>S2</x:v>
      </x:c>
      <x:c r="C66" s="3" t="str">
        <x:v>seed-sp-0026-v1</x:v>
      </x:c>
      <x:c r="D66" s="3" t="str">
        <x:v>independent-sp-0026-v1</x:v>
      </x:c>
      <x:c r="E66" s="3" t="str"/>
      <x:c r="F66" s="3" t="str"/>
      <x:c r="G66" s="3" t="str"/>
      <x:c r="H66" s="3" t="str"/>
      <x:c r="I66" s="3" t="str"/>
      <x:c r="J66" s="3" t="str"/>
      <x:c r="K66" s="3" t="str"/>
      <x:c r="L66" s="3" t="str">
        <x:v>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x:v>
      </x:c>
      <x:c r="M66" s="3" t="str">
        <x:v>S1: 0 — progress occurs primarily through physical fabrication, joining, assembly, and inspection after design maturity; S2: 1 — Intermediate judgment: bespoke pilot-component fabrication iterations often take months to years; S3 cost: 0 — full component attempts consume high-value material, specialist labor, and scarce equipment; S3 throughput: large custom components are capacity-limited and predominantly serial even when subparts run in parallel; S4: 0 — fabrication, treatment, joining, and inspection floors dominate elapsed time; S5: 1 — Intermediate judgment: defects can be irreparable or require scrapping high-value parts, while inspection may contain them before installation; scope caveat: pilot components after design maturity, excluding earlier qualification and commercial-fleet production.</x:v>
      </x:c>
      <x:c r="N66" s="3" t="str">
        <x:v>exact_agreement</x:v>
      </x:c>
      <x:c r="O66" s="3" t="str">
        <x:v>not_in_existing_backlog</x:v>
      </x:c>
    </x:row>
    <x:row r="67" ht="220" customHeight="1">
      <x:c r="A67" s="9" t="str">
        <x:v>sp-0026</x:v>
      </x:c>
      <x:c r="B67" s="9" t="str">
        <x:v>S3</x:v>
      </x:c>
      <x:c r="C67" s="9" t="str">
        <x:v>seed-sp-0026-v1</x:v>
      </x:c>
      <x:c r="D67" s="9" t="str">
        <x:v>independent-sp-0026-v1</x:v>
      </x:c>
      <x:c r="E67" s="9" t="str"/>
      <x:c r="F67" s="9" t="str"/>
      <x:c r="G67" s="9" t="str"/>
      <x:c r="H67" s="9" t="str"/>
      <x:c r="I67" s="9" t="str"/>
      <x:c r="J67" s="9" t="str"/>
      <x:c r="K67" s="9" t="str"/>
      <x:c r="L67" s="9" t="str">
        <x:v>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x:v>
      </x:c>
      <x:c r="M67" s="9" t="str">
        <x:v>S1: 0 — progress occurs primarily through physical fabrication, joining, assembly, and inspection after design maturity; S2: 1 — Intermediate judgment: bespoke pilot-component fabrication iterations often take months to years; S3 cost: 0 — full component attempts consume high-value material, specialist labor, and scarce equipment; S3 throughput: large custom components are capacity-limited and predominantly serial even when subparts run in parallel; S4: 0 — fabrication, treatment, joining, and inspection floors dominate elapsed time; S5: 1 — Intermediate judgment: defects can be irreparable or require scrapping high-value parts, while inspection may contain them before installation; scope caveat: pilot components after design maturity, excluding earlier qualification and commercial-fleet production.</x:v>
      </x:c>
      <x:c r="N67" s="9" t="str">
        <x:v>one_point_difference</x:v>
      </x:c>
      <x:c r="O67" s="9" t="str">
        <x:v>not_in_existing_backlog</x:v>
      </x:c>
    </x:row>
    <x:row r="68" ht="220" customHeight="1">
      <x:c r="A68" s="3" t="str">
        <x:v>sp-0026</x:v>
      </x:c>
      <x:c r="B68" s="3" t="str">
        <x:v>S4</x:v>
      </x:c>
      <x:c r="C68" s="3" t="str">
        <x:v>seed-sp-0026-v1</x:v>
      </x:c>
      <x:c r="D68" s="3" t="str">
        <x:v>independent-sp-0026-v1</x:v>
      </x:c>
      <x:c r="E68" s="3" t="str"/>
      <x:c r="F68" s="3" t="str"/>
      <x:c r="G68" s="3" t="str"/>
      <x:c r="H68" s="3" t="str"/>
      <x:c r="I68" s="3" t="str"/>
      <x:c r="J68" s="3" t="str"/>
      <x:c r="K68" s="3" t="str"/>
      <x:c r="L68" s="3" t="str">
        <x:v>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x:v>
      </x:c>
      <x:c r="M68" s="3" t="str">
        <x:v>S1: 0 — progress occurs primarily through physical fabrication, joining, assembly, and inspection after design maturity; S2: 1 — Intermediate judgment: bespoke pilot-component fabrication iterations often take months to years; S3 cost: 0 — full component attempts consume high-value material, specialist labor, and scarce equipment; S3 throughput: large custom components are capacity-limited and predominantly serial even when subparts run in parallel; S4: 0 — fabrication, treatment, joining, and inspection floors dominate elapsed time; S5: 1 — Intermediate judgment: defects can be irreparable or require scrapping high-value parts, while inspection may contain them before installation; scope caveat: pilot components after design maturity, excluding earlier qualification and commercial-fleet production.</x:v>
      </x:c>
      <x:c r="N68" s="3" t="str">
        <x:v>exact_agreement</x:v>
      </x:c>
      <x:c r="O68" s="3" t="str">
        <x:v>not_in_existing_backlog</x:v>
      </x:c>
    </x:row>
    <x:row r="69" ht="220" customHeight="1">
      <x:c r="A69" s="9" t="str">
        <x:v>sp-0026</x:v>
      </x:c>
      <x:c r="B69" s="9" t="str">
        <x:v>S5</x:v>
      </x:c>
      <x:c r="C69" s="9" t="str">
        <x:v>seed-sp-0026-v1</x:v>
      </x:c>
      <x:c r="D69" s="9" t="str">
        <x:v>independent-sp-0026-v1</x:v>
      </x:c>
      <x:c r="E69" s="9" t="str"/>
      <x:c r="F69" s="9" t="str"/>
      <x:c r="G69" s="9" t="str"/>
      <x:c r="H69" s="9" t="str"/>
      <x:c r="I69" s="9" t="str"/>
      <x:c r="J69" s="9" t="str"/>
      <x:c r="K69" s="9" t="str"/>
      <x:c r="L69" s="9" t="str">
        <x:v>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x:v>
      </x:c>
      <x:c r="M69" s="9" t="str">
        <x:v>S1: 0 — progress occurs primarily through physical fabrication, joining, assembly, and inspection after design maturity; S2: 1 — Intermediate judgment: bespoke pilot-component fabrication iterations often take months to years; S3 cost: 0 — full component attempts consume high-value material, specialist labor, and scarce equipment; S3 throughput: large custom components are capacity-limited and predominantly serial even when subparts run in parallel; S4: 0 — fabrication, treatment, joining, and inspection floors dominate elapsed time; S5: 1 — Intermediate judgment: defects can be irreparable or require scrapping high-value parts, while inspection may contain them before installation; scope caveat: pilot components after design maturity, excluding earlier qualification and commercial-fleet production.</x:v>
      </x:c>
      <x:c r="N69" s="9" t="str">
        <x:v>exact_agreement</x:v>
      </x:c>
      <x:c r="O69" s="9" t="str">
        <x:v>not_in_existing_backlog</x:v>
      </x:c>
    </x:row>
    <x:row r="70" ht="204" customHeight="1">
      <x:c r="A70" s="3" t="str">
        <x:v>sp-0027</x:v>
      </x:c>
      <x:c r="B70" s="3" t="str">
        <x:v>S1</x:v>
      </x:c>
      <x:c r="C70" s="3" t="str">
        <x:v>seed-sp-0027-v1</x:v>
      </x:c>
      <x:c r="D70" s="3" t="str">
        <x:v>independent-sp-0027-v1</x:v>
      </x:c>
      <x:c r="E70" s="3" t="str"/>
      <x:c r="F70" s="3" t="str"/>
      <x:c r="G70" s="3" t="str"/>
      <x:c r="H70" s="3" t="str"/>
      <x:c r="I70" s="3" t="str"/>
      <x:c r="J70" s="3" t="str"/>
      <x:c r="K70" s="3" t="str"/>
      <x:c r="L70" s="3" t="str">
        <x:v>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x:v>
      </x:c>
      <x:c r="M70" s="3" t="str">
        <x:v>S1: 0 — site work, assembly, installation, and facility construction are predominantly physical transformation; S2: 0 — integrated construction feedback and correction unfold over years; S3 cost: 0 — major construction attempts and changes are scarce and expensive; S3 throughput: work packages can overlap, but the integrated facility sequence and site dependencies remain strongly constrained; S4: 0 — construction and installation floors dominate elapsed time; S5: 1 — Intermediate judgment: some errors are reworkable, but concealed or structural mistakes can be severe, costly, and only partly reversible; scope caveat: a pilot-relevant tokamak facility, excluding off-site component fabrication and commercial-fleet rollout.</x:v>
      </x:c>
      <x:c r="N70" s="3" t="str">
        <x:v>exact_agreement</x:v>
      </x:c>
      <x:c r="O70" s="3" t="str">
        <x:v>not_in_existing_backlog</x:v>
      </x:c>
    </x:row>
    <x:row r="71" ht="204" customHeight="1">
      <x:c r="A71" s="9" t="str">
        <x:v>sp-0027</x:v>
      </x:c>
      <x:c r="B71" s="9" t="str">
        <x:v>S2</x:v>
      </x:c>
      <x:c r="C71" s="9" t="str">
        <x:v>seed-sp-0027-v1</x:v>
      </x:c>
      <x:c r="D71" s="9" t="str">
        <x:v>independent-sp-0027-v1</x:v>
      </x:c>
      <x:c r="E71" s="9" t="str"/>
      <x:c r="F71" s="9" t="str"/>
      <x:c r="G71" s="9" t="str"/>
      <x:c r="H71" s="9" t="str"/>
      <x:c r="I71" s="9" t="str"/>
      <x:c r="J71" s="9" t="str"/>
      <x:c r="K71" s="9" t="str"/>
      <x:c r="L71" s="9" t="str">
        <x:v>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x:v>
      </x:c>
      <x:c r="M71" s="9" t="str">
        <x:v>S1: 0 — site work, assembly, installation, and facility construction are predominantly physical transformation; S2: 0 — integrated construction feedback and correction unfold over years; S3 cost: 0 — major construction attempts and changes are scarce and expensive; S3 throughput: work packages can overlap, but the integrated facility sequence and site dependencies remain strongly constrained; S4: 0 — construction and installation floors dominate elapsed time; S5: 1 — Intermediate judgment: some errors are reworkable, but concealed or structural mistakes can be severe, costly, and only partly reversible; scope caveat: a pilot-relevant tokamak facility, excluding off-site component fabrication and commercial-fleet rollout.</x:v>
      </x:c>
      <x:c r="N71" s="9" t="str">
        <x:v>exact_agreement</x:v>
      </x:c>
      <x:c r="O71" s="9" t="str">
        <x:v>not_in_existing_backlog</x:v>
      </x:c>
    </x:row>
    <x:row r="72" ht="204" customHeight="1">
      <x:c r="A72" s="3" t="str">
        <x:v>sp-0027</x:v>
      </x:c>
      <x:c r="B72" s="3" t="str">
        <x:v>S3</x:v>
      </x:c>
      <x:c r="C72" s="3" t="str">
        <x:v>seed-sp-0027-v1</x:v>
      </x:c>
      <x:c r="D72" s="3" t="str">
        <x:v>independent-sp-0027-v1</x:v>
      </x:c>
      <x:c r="E72" s="3" t="str"/>
      <x:c r="F72" s="3" t="str"/>
      <x:c r="G72" s="3" t="str"/>
      <x:c r="H72" s="3" t="str"/>
      <x:c r="I72" s="3" t="str"/>
      <x:c r="J72" s="3" t="str"/>
      <x:c r="K72" s="3" t="str"/>
      <x:c r="L72" s="3" t="str">
        <x:v>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x:v>
      </x:c>
      <x:c r="M72" s="3" t="str">
        <x:v>S1: 0 — site work, assembly, installation, and facility construction are predominantly physical transformation; S2: 0 — integrated construction feedback and correction unfold over years; S3 cost: 0 — major construction attempts and changes are scarce and expensive; S3 throughput: work packages can overlap, but the integrated facility sequence and site dependencies remain strongly constrained; S4: 0 — construction and installation floors dominate elapsed time; S5: 1 — Intermediate judgment: some errors are reworkable, but concealed or structural mistakes can be severe, costly, and only partly reversible; scope caveat: a pilot-relevant tokamak facility, excluding off-site component fabrication and commercial-fleet rollout.</x:v>
      </x:c>
      <x:c r="N72" s="3" t="str">
        <x:v>exact_agreement</x:v>
      </x:c>
      <x:c r="O72" s="3" t="str">
        <x:v>not_in_existing_backlog</x:v>
      </x:c>
    </x:row>
    <x:row r="73" ht="204" customHeight="1">
      <x:c r="A73" s="9" t="str">
        <x:v>sp-0027</x:v>
      </x:c>
      <x:c r="B73" s="9" t="str">
        <x:v>S4</x:v>
      </x:c>
      <x:c r="C73" s="9" t="str">
        <x:v>seed-sp-0027-v1</x:v>
      </x:c>
      <x:c r="D73" s="9" t="str">
        <x:v>independent-sp-0027-v1</x:v>
      </x:c>
      <x:c r="E73" s="9" t="str"/>
      <x:c r="F73" s="9" t="str"/>
      <x:c r="G73" s="9" t="str"/>
      <x:c r="H73" s="9" t="str"/>
      <x:c r="I73" s="9" t="str"/>
      <x:c r="J73" s="9" t="str"/>
      <x:c r="K73" s="9" t="str"/>
      <x:c r="L73" s="9" t="str">
        <x:v>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x:v>
      </x:c>
      <x:c r="M73" s="9" t="str">
        <x:v>S1: 0 — site work, assembly, installation, and facility construction are predominantly physical transformation; S2: 0 — integrated construction feedback and correction unfold over years; S3 cost: 0 — major construction attempts and changes are scarce and expensive; S3 throughput: work packages can overlap, but the integrated facility sequence and site dependencies remain strongly constrained; S4: 0 — construction and installation floors dominate elapsed time; S5: 1 — Intermediate judgment: some errors are reworkable, but concealed or structural mistakes can be severe, costly, and only partly reversible; scope caveat: a pilot-relevant tokamak facility, excluding off-site component fabrication and commercial-fleet rollout.</x:v>
      </x:c>
      <x:c r="N73" s="9" t="str">
        <x:v>exact_agreement</x:v>
      </x:c>
      <x:c r="O73" s="9" t="str">
        <x:v>not_in_existing_backlog</x:v>
      </x:c>
    </x:row>
    <x:row r="74" ht="204" customHeight="1">
      <x:c r="A74" s="3" t="str">
        <x:v>sp-0027</x:v>
      </x:c>
      <x:c r="B74" s="3" t="str">
        <x:v>S5</x:v>
      </x:c>
      <x:c r="C74" s="3" t="str">
        <x:v>seed-sp-0027-v1</x:v>
      </x:c>
      <x:c r="D74" s="3" t="str">
        <x:v>independent-sp-0027-v1</x:v>
      </x:c>
      <x:c r="E74" s="3" t="str"/>
      <x:c r="F74" s="3" t="str"/>
      <x:c r="G74" s="3" t="str"/>
      <x:c r="H74" s="3" t="str"/>
      <x:c r="I74" s="3" t="str"/>
      <x:c r="J74" s="3" t="str"/>
      <x:c r="K74" s="3" t="str"/>
      <x:c r="L74" s="3" t="str">
        <x:v>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x:v>
      </x:c>
      <x:c r="M74" s="3" t="str">
        <x:v>S1: 0 — site work, assembly, installation, and facility construction are predominantly physical transformation; S2: 0 — integrated construction feedback and correction unfold over years; S3 cost: 0 — major construction attempts and changes are scarce and expensive; S3 throughput: work packages can overlap, but the integrated facility sequence and site dependencies remain strongly constrained; S4: 0 — construction and installation floors dominate elapsed time; S5: 1 — Intermediate judgment: some errors are reworkable, but concealed or structural mistakes can be severe, costly, and only partly reversible; scope caveat: a pilot-relevant tokamak facility, excluding off-site component fabrication and commercial-fleet rollout.</x:v>
      </x:c>
      <x:c r="N74" s="3" t="str">
        <x:v>exact_agreement</x:v>
      </x:c>
      <x:c r="O74" s="3" t="str">
        <x:v>not_in_existing_backlog</x:v>
      </x:c>
    </x:row>
    <x:row r="75" ht="220" customHeight="1">
      <x:c r="A75" s="9" t="str">
        <x:v>sp-0028</x:v>
      </x:c>
      <x:c r="B75" s="9" t="str">
        <x:v>S1</x:v>
      </x:c>
      <x:c r="C75" s="9" t="str">
        <x:v>seed-sp-0028-v1</x:v>
      </x:c>
      <x:c r="D75" s="9" t="str">
        <x:v>independent-sp-0028-v1</x:v>
      </x:c>
      <x:c r="E75" s="9" t="str"/>
      <x:c r="F75" s="9" t="str"/>
      <x:c r="G75" s="9" t="str"/>
      <x:c r="H75" s="9" t="str"/>
      <x:c r="I75" s="9" t="str"/>
      <x:c r="J75" s="9" t="str"/>
      <x:c r="K75" s="9" t="str"/>
      <x:c r="L75" s="9"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M75" s="9"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N75" s="9" t="str">
        <x:v>exact_agreement</x:v>
      </x:c>
      <x:c r="O75" s="9" t="str">
        <x:v>not_in_existing_backlog</x:v>
      </x:c>
    </x:row>
    <x:row r="76" ht="220" customHeight="1">
      <x:c r="A76" s="3" t="str">
        <x:v>sp-0028</x:v>
      </x:c>
      <x:c r="B76" s="3" t="str">
        <x:v>S2</x:v>
      </x:c>
      <x:c r="C76" s="3" t="str">
        <x:v>seed-sp-0028-v1</x:v>
      </x:c>
      <x:c r="D76" s="3" t="str">
        <x:v>independent-sp-0028-v1</x:v>
      </x:c>
      <x:c r="E76" s="3" t="str"/>
      <x:c r="F76" s="3" t="str"/>
      <x:c r="G76" s="3" t="str"/>
      <x:c r="H76" s="3" t="str"/>
      <x:c r="I76" s="3" t="str"/>
      <x:c r="J76" s="3" t="str"/>
      <x:c r="K76" s="3" t="str"/>
      <x:c r="L76" s="3"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M76" s="3"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N76" s="3" t="str">
        <x:v>exact_agreement</x:v>
      </x:c>
      <x:c r="O76" s="3" t="str">
        <x:v>not_in_existing_backlog</x:v>
      </x:c>
    </x:row>
    <x:row r="77" ht="220" customHeight="1">
      <x:c r="A77" s="9" t="str">
        <x:v>sp-0028</x:v>
      </x:c>
      <x:c r="B77" s="9" t="str">
        <x:v>S3</x:v>
      </x:c>
      <x:c r="C77" s="9" t="str">
        <x:v>seed-sp-0028-v1</x:v>
      </x:c>
      <x:c r="D77" s="9" t="str">
        <x:v>independent-sp-0028-v1</x:v>
      </x:c>
      <x:c r="E77" s="9" t="str"/>
      <x:c r="F77" s="9" t="str"/>
      <x:c r="G77" s="9" t="str">
        <x:v>exc-sp-0028-s3</x:v>
      </x:c>
      <x:c r="H77" s="9" t="str">
        <x:v>prefer_independent</x:v>
      </x:c>
      <x:c r="I77" s="9" t="str">
        <x:v>Select S3=0. The decisive attempts are integrated startup and system-proving operations on one unique facility. Subsystem checks can be repeated, but facility states, access, specialist teams and interface dependencies make stage-level attempts scarce, expensive and predominantly serial.</x:v>
      </x:c>
      <x:c r="J77" s="9" t="str"/>
      <x:c r="K77" s="9" t="str">
        <x:v>owner_preference_recorded</x:v>
      </x:c>
      <x:c r="L77" s="9"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M77" s="9"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N77" s="9" t="str">
        <x:v>one_point_difference</x:v>
      </x:c>
      <x:c r="O77" s="9" t="str">
        <x:v>not_in_existing_backlog</x:v>
      </x:c>
    </x:row>
    <x:row r="78" ht="220" customHeight="1">
      <x:c r="A78" s="3" t="str">
        <x:v>sp-0028</x:v>
      </x:c>
      <x:c r="B78" s="3" t="str">
        <x:v>S4</x:v>
      </x:c>
      <x:c r="C78" s="3" t="str">
        <x:v>seed-sp-0028-v1</x:v>
      </x:c>
      <x:c r="D78" s="3" t="str">
        <x:v>independent-sp-0028-v1</x:v>
      </x:c>
      <x:c r="E78" s="3" t="str"/>
      <x:c r="F78" s="3" t="str"/>
      <x:c r="G78" s="3" t="str"/>
      <x:c r="H78" s="3" t="str"/>
      <x:c r="I78" s="3" t="str"/>
      <x:c r="J78" s="3" t="str"/>
      <x:c r="K78" s="3" t="str"/>
      <x:c r="L78" s="3"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M78" s="3"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N78" s="3" t="str">
        <x:v>exact_agreement</x:v>
      </x:c>
      <x:c r="O78" s="3" t="str">
        <x:v>not_in_existing_backlog</x:v>
      </x:c>
    </x:row>
    <x:row r="79" ht="220" customHeight="1">
      <x:c r="A79" s="9" t="str">
        <x:v>sp-0028</x:v>
      </x:c>
      <x:c r="B79" s="9" t="str">
        <x:v>S5</x:v>
      </x:c>
      <x:c r="C79" s="9" t="str">
        <x:v>seed-sp-0028-v1</x:v>
      </x:c>
      <x:c r="D79" s="9" t="str">
        <x:v>independent-sp-0028-v1</x:v>
      </x:c>
      <x:c r="E79" s="9" t="str"/>
      <x:c r="F79" s="9" t="str"/>
      <x:c r="G79" s="9" t="str">
        <x:v>exc-sp-0028-s5</x:v>
      </x:c>
      <x:c r="H79" s="9" t="str">
        <x:v>prefer_seed</x:v>
      </x:c>
      <x:c r="I79" s="9" t="str">
        <x:v>Select S5=1. Commissioning mistakes can damage unique installed hardware and create serious hazards, yet commissioning is deliberately staged, interlocked and reversible where practicable. The stage is low-tolerance, but S5=0 treats the severe tail as the ordinary error consequence.</x:v>
      </x:c>
      <x:c r="J79" s="9" t="str"/>
      <x:c r="K79" s="9" t="str">
        <x:v>owner_preference_recorded</x:v>
      </x:c>
      <x:c r="L79" s="9"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M79" s="9"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N79" s="9" t="str">
        <x:v>one_point_difference</x:v>
      </x:c>
      <x:c r="O79" s="9" t="str">
        <x:v>owner_disposition_recorded_pending_targeted_s5_adjudication</x:v>
      </x:c>
    </x:row>
    <x:row r="80" ht="220" customHeight="1">
      <x:c r="A80" s="3" t="str">
        <x:v>sp-0029</x:v>
      </x:c>
      <x:c r="B80" s="3" t="str">
        <x:v>S1</x:v>
      </x:c>
      <x:c r="C80" s="3" t="str">
        <x:v>seed-sp-0029-v1</x:v>
      </x:c>
      <x:c r="D80" s="3" t="str">
        <x:v>independent-sp-0029-v1</x:v>
      </x:c>
      <x:c r="E80" s="3" t="str"/>
      <x:c r="F80" s="3" t="str"/>
      <x:c r="G80" s="3" t="str"/>
      <x:c r="H80" s="3" t="str"/>
      <x:c r="I80" s="3" t="str"/>
      <x:c r="J80" s="3" t="str"/>
      <x:c r="K80" s="3" t="str"/>
      <x:c r="L80" s="3"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M80" s="3"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N80" s="3" t="str">
        <x:v>exact_agreement</x:v>
      </x:c>
      <x:c r="O80" s="3" t="str">
        <x:v>not_in_existing_backlog</x:v>
      </x:c>
    </x:row>
    <x:row r="81" ht="220" customHeight="1">
      <x:c r="A81" s="9" t="str">
        <x:v>sp-0029</x:v>
      </x:c>
      <x:c r="B81" s="9" t="str">
        <x:v>S2</x:v>
      </x:c>
      <x:c r="C81" s="9" t="str">
        <x:v>seed-sp-0029-v1</x:v>
      </x:c>
      <x:c r="D81" s="9" t="str">
        <x:v>independent-sp-0029-v1</x:v>
      </x:c>
      <x:c r="E81" s="9" t="str"/>
      <x:c r="F81" s="9" t="str"/>
      <x:c r="G81" s="9" t="str"/>
      <x:c r="H81" s="9" t="str"/>
      <x:c r="I81" s="9" t="str"/>
      <x:c r="J81" s="9" t="str"/>
      <x:c r="K81" s="9" t="str"/>
      <x:c r="L81" s="9"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M81" s="9"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N81" s="9" t="str">
        <x:v>exact_agreement</x:v>
      </x:c>
      <x:c r="O81" s="9" t="str">
        <x:v>not_in_existing_backlog</x:v>
      </x:c>
    </x:row>
    <x:row r="82" ht="220" customHeight="1">
      <x:c r="A82" s="3" t="str">
        <x:v>sp-0029</x:v>
      </x:c>
      <x:c r="B82" s="3" t="str">
        <x:v>S3</x:v>
      </x:c>
      <x:c r="C82" s="3" t="str">
        <x:v>seed-sp-0029-v1</x:v>
      </x:c>
      <x:c r="D82" s="3" t="str">
        <x:v>independent-sp-0029-v1</x:v>
      </x:c>
      <x:c r="E82" s="3" t="str"/>
      <x:c r="F82" s="3" t="str"/>
      <x:c r="G82" s="3" t="str"/>
      <x:c r="H82" s="3" t="str"/>
      <x:c r="I82" s="3" t="str"/>
      <x:c r="J82" s="3" t="str"/>
      <x:c r="K82" s="3" t="str"/>
      <x:c r="L82" s="3"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M82" s="3"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N82" s="3" t="str">
        <x:v>exact_agreement</x:v>
      </x:c>
      <x:c r="O82" s="3" t="str">
        <x:v>not_in_existing_backlog</x:v>
      </x:c>
    </x:row>
    <x:row r="83" ht="220" customHeight="1">
      <x:c r="A83" s="9" t="str">
        <x:v>sp-0029</x:v>
      </x:c>
      <x:c r="B83" s="9" t="str">
        <x:v>S4</x:v>
      </x:c>
      <x:c r="C83" s="9" t="str">
        <x:v>seed-sp-0029-v1</x:v>
      </x:c>
      <x:c r="D83" s="9" t="str">
        <x:v>independent-sp-0029-v1</x:v>
      </x:c>
      <x:c r="E83" s="9" t="str"/>
      <x:c r="F83" s="9" t="str"/>
      <x:c r="G83" s="9" t="str"/>
      <x:c r="H83" s="9" t="str"/>
      <x:c r="I83" s="9" t="str"/>
      <x:c r="J83" s="9" t="str"/>
      <x:c r="K83" s="9" t="str"/>
      <x:c r="L83" s="9"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M83" s="9"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N83" s="9" t="str">
        <x:v>exact_agreement</x:v>
      </x:c>
      <x:c r="O83" s="9" t="str">
        <x:v>not_in_existing_backlog</x:v>
      </x:c>
    </x:row>
    <x:row r="84" ht="220" customHeight="1">
      <x:c r="A84" s="3" t="str">
        <x:v>sp-0029</x:v>
      </x:c>
      <x:c r="B84" s="3" t="str">
        <x:v>S5</x:v>
      </x:c>
      <x:c r="C84" s="3" t="str">
        <x:v>seed-sp-0029-v1</x:v>
      </x:c>
      <x:c r="D84" s="3" t="str">
        <x:v>independent-sp-0029-v1</x:v>
      </x:c>
      <x:c r="E84" s="3" t="str"/>
      <x:c r="F84" s="3" t="str"/>
      <x:c r="G84" s="3" t="str">
        <x:v>exc-sp-0029-s5</x:v>
      </x:c>
      <x:c r="H84" s="3" t="str">
        <x:v>prefer_seed</x:v>
      </x:c>
      <x:c r="I84" s="3" t="str">
        <x:v>Select S5=1. Component failures are the phenomenon reliability demonstration is designed to reveal and should not automatically be treated as errors by the stage. Errors in test conduct or inference can still waste irreplaceable operating time, so the stage remains low-tolerance rather than catastrophic by definition.</x:v>
      </x:c>
      <x:c r="J84" s="3" t="str"/>
      <x:c r="K84" s="3" t="str">
        <x:v>owner_preference_recorded</x:v>
      </x:c>
      <x:c r="L84" s="3"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M84" s="3"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N84" s="3" t="str">
        <x:v>one_point_difference</x:v>
      </x:c>
      <x:c r="O84" s="3" t="str">
        <x:v>owner_disposition_recorded_pending_targeted_s5_adjudication</x:v>
      </x:c>
    </x:row>
    <x:row r="85" ht="284" customHeight="1">
      <x:c r="A85" s="9" t="str">
        <x:v>sp-0030</x:v>
      </x:c>
      <x:c r="B85" s="9" t="str">
        <x:v>S1</x:v>
      </x:c>
      <x:c r="C85" s="9" t="str">
        <x:v>seed-sp-0030-v1</x:v>
      </x:c>
      <x:c r="D85" s="9" t="str">
        <x:v>independent-sp-0030-v1</x:v>
      </x:c>
      <x:c r="E85" s="9" t="str"/>
      <x:c r="F85" s="9" t="str"/>
      <x:c r="G85" s="9" t="str">
        <x:v>exc-sp-0030-s1</x:v>
      </x:c>
      <x:c r="H85" s="9" t="str">
        <x:v>prefer_independent</x:v>
      </x:c>
      <x:c r="I85" s="9" t="str">
        <x:v>Select S1=4. Licensing work is fundamentally evidence review, safety analysis, communication and formal decision-making. Inspections and as-built evidence are important inputs, but importing their physical production into this stage would blur licensing with construction, commissioning and qualification.</x:v>
      </x:c>
      <x:c r="J85" s="9" t="str"/>
      <x:c r="K85" s="9" t="str">
        <x:v>owner_preference_recorded</x:v>
      </x:c>
      <x:c r="L85" s="9"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M85" s="9"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N85" s="9" t="str">
        <x:v>one_point_difference</x:v>
      </x:c>
      <x:c r="O85" s="9" t="str">
        <x:v>not_in_existing_backlog</x:v>
      </x:c>
    </x:row>
    <x:row r="86" ht="284" customHeight="1">
      <x:c r="A86" s="3" t="str">
        <x:v>sp-0030</x:v>
      </x:c>
      <x:c r="B86" s="3" t="str">
        <x:v>S2</x:v>
      </x:c>
      <x:c r="C86" s="3" t="str">
        <x:v>seed-sp-0030-v1</x:v>
      </x:c>
      <x:c r="D86" s="3" t="str">
        <x:v>independent-sp-0030-v1</x:v>
      </x:c>
      <x:c r="E86" s="3" t="str"/>
      <x:c r="F86" s="3" t="str"/>
      <x:c r="G86" s="3" t="str">
        <x:v>exc-sp-0030-s2</x:v>
      </x:c>
      <x:c r="H86" s="3" t="str">
        <x:v>needs_domain_review</x:v>
      </x:c>
      <x:c r="I86" s="3" t="str">
        <x:v>Do not select 0 or 1 yet. Licensing feedback speed is jurisdiction- and pathway-dependent, and the frozen row names no jurisdiction. A fusion-regulatory reviewer should determine whether a shared profile is defensible or whether U.S., Chinese and other licensing variants are required.</x:v>
      </x:c>
      <x:c r="J86" s="3" t="str"/>
      <x:c r="K86" s="3" t="str">
        <x:v>unresolved</x:v>
      </x:c>
      <x:c r="L86" s="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M86" s="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N86" s="3" t="str">
        <x:v>one_point_difference</x:v>
      </x:c>
      <x:c r="O86" s="3" t="str">
        <x:v>not_in_existing_backlog</x:v>
      </x:c>
    </x:row>
    <x:row r="87" ht="284" customHeight="1">
      <x:c r="A87" s="9" t="str">
        <x:v>sp-0030</x:v>
      </x:c>
      <x:c r="B87" s="9" t="str">
        <x:v>S3</x:v>
      </x:c>
      <x:c r="C87" s="9" t="str">
        <x:v>seed-sp-0030-v1</x:v>
      </x:c>
      <x:c r="D87" s="9" t="str">
        <x:v>independent-sp-0030-v1</x:v>
      </x:c>
      <x:c r="E87" s="9" t="str"/>
      <x:c r="F87" s="9" t="str"/>
      <x:c r="G87" s="9" t="str">
        <x:v>exc-sp-0030-s3</x:v>
      </x:c>
      <x:c r="H87" s="9" t="str">
        <x:v>needs_domain_review</x:v>
      </x:c>
      <x:c r="I87" s="9" t="str">
        <x:v>Do not select 0 or 1 yet. Application drafting can be parallel and repeatable, while formal review cycles are scarce and serial; the balance depends strongly on the licensing regime. Resolve together with the jurisdiction-specific licensing scope.</x:v>
      </x:c>
      <x:c r="J87" s="9" t="str"/>
      <x:c r="K87" s="9" t="str">
        <x:v>unresolved</x:v>
      </x:c>
      <x:c r="L87" s="9"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M87" s="9"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N87" s="9" t="str">
        <x:v>one_point_difference</x:v>
      </x:c>
      <x:c r="O87" s="9" t="str">
        <x:v>not_in_existing_backlog</x:v>
      </x:c>
    </x:row>
    <x:row r="88" ht="284" customHeight="1">
      <x:c r="A88" s="3" t="str">
        <x:v>sp-0030</x:v>
      </x:c>
      <x:c r="B88" s="3" t="str">
        <x:v>S4</x:v>
      </x:c>
      <x:c r="C88" s="3" t="str">
        <x:v>seed-sp-0030-v1</x:v>
      </x:c>
      <x:c r="D88" s="3" t="str">
        <x:v>independent-sp-0030-v1</x:v>
      </x:c>
      <x:c r="E88" s="3" t="str"/>
      <x:c r="F88" s="3" t="str"/>
      <x:c r="G88" s="3" t="str">
        <x:v>exc-sp-0030-s4</x:v>
      </x:c>
      <x:c r="H88" s="3" t="str">
        <x:v>prefer_independent</x:v>
      </x:c>
      <x:c r="I88" s="3" t="str">
        <x:v>Select S4=4. S4 concerns intrinsic physical time floors. Regulatory waiting, hearings and review latency are institutional and belong in the governance/C6 layer; construction and operating evidence are separate stages rather than physical processes inside licensing.</x:v>
      </x:c>
      <x:c r="J88" s="3" t="str"/>
      <x:c r="K88" s="3" t="str">
        <x:v>owner_preference_recorded</x:v>
      </x:c>
      <x:c r="L88" s="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M88" s="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N88" s="3" t="str">
        <x:v>one_point_difference</x:v>
      </x:c>
      <x:c r="O88" s="3" t="str">
        <x:v>not_in_existing_backlog</x:v>
      </x:c>
    </x:row>
    <x:row r="89" ht="284" customHeight="1">
      <x:c r="A89" s="9" t="str">
        <x:v>sp-0030</x:v>
      </x:c>
      <x:c r="B89" s="9" t="str">
        <x:v>S5</x:v>
      </x:c>
      <x:c r="C89" s="9" t="str">
        <x:v>seed-sp-0030-v1</x:v>
      </x:c>
      <x:c r="D89" s="9" t="str">
        <x:v>independent-sp-0030-v1</x:v>
      </x:c>
      <x:c r="E89" s="9" t="str"/>
      <x:c r="F89" s="9" t="str"/>
      <x:c r="G89" s="9" t="str">
        <x:v>exc-sp-0030-s5</x:v>
      </x:c>
      <x:c r="H89" s="9" t="str">
        <x:v>preserve_disagreement</x:v>
      </x:c>
      <x:c r="I89" s="9" t="str">
        <x:v>Preserve the 0-2 disagreement pending the S5 clarification and regulatory domain review. An erroneous approval can have grave downstream consequences, so S5=2 is too permissive; however, harm also requires operation and additional conditions, so S5=0 is too absolute. A later adjudicated value may be 1, but it should not be manufactured from two model submissions.</x:v>
      </x:c>
      <x:c r="J89" s="9" t="str"/>
      <x:c r="K89" s="9" t="str">
        <x:v>unresolved</x:v>
      </x:c>
      <x:c r="L89" s="9"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M89" s="9"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N89" s="9" t="str">
        <x:v>difference_ge_2</x:v>
      </x:c>
      <x:c r="O89" s="9" t="str">
        <x:v>owner_disposition_recorded_pending_targeted_s5_adjudication</x:v>
      </x:c>
    </x:row>
    <x:row r="90" ht="252" customHeight="1">
      <x:c r="A90" s="3" t="str">
        <x:v>sp-0031</x:v>
      </x:c>
      <x:c r="B90" s="3" t="str">
        <x:v>S1</x:v>
      </x:c>
      <x:c r="C90" s="3" t="str">
        <x:v>seed-sp-0031-v1</x:v>
      </x:c>
      <x:c r="D90" s="3" t="str">
        <x:v>independent-sp-0031-v1</x:v>
      </x:c>
      <x:c r="E90" s="3" t="str"/>
      <x:c r="F90" s="3" t="str"/>
      <x:c r="G90" s="3" t="str"/>
      <x:c r="H90" s="3" t="str"/>
      <x:c r="I90" s="3" t="str"/>
      <x:c r="J90" s="3" t="str"/>
      <x:c r="K90" s="3" t="str"/>
      <x:c r="L90" s="3"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M90" s="3"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N90" s="3" t="str">
        <x:v>exact_agreement</x:v>
      </x:c>
      <x:c r="O90" s="3" t="str">
        <x:v>not_in_existing_backlog</x:v>
      </x:c>
    </x:row>
    <x:row r="91" ht="252" customHeight="1">
      <x:c r="A91" s="9" t="str">
        <x:v>sp-0031</x:v>
      </x:c>
      <x:c r="B91" s="9" t="str">
        <x:v>S2</x:v>
      </x:c>
      <x:c r="C91" s="9" t="str">
        <x:v>seed-sp-0031-v1</x:v>
      </x:c>
      <x:c r="D91" s="9" t="str">
        <x:v>independent-sp-0031-v1</x:v>
      </x:c>
      <x:c r="E91" s="9" t="str"/>
      <x:c r="F91" s="9" t="str"/>
      <x:c r="G91" s="9" t="str"/>
      <x:c r="H91" s="9" t="str"/>
      <x:c r="I91" s="9" t="str"/>
      <x:c r="J91" s="9" t="str"/>
      <x:c r="K91" s="9" t="str"/>
      <x:c r="L91" s="9"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M91" s="9"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N91" s="9" t="str">
        <x:v>exact_agreement</x:v>
      </x:c>
      <x:c r="O91" s="9" t="str">
        <x:v>not_in_existing_backlog</x:v>
      </x:c>
    </x:row>
    <x:row r="92" ht="252" customHeight="1">
      <x:c r="A92" s="3" t="str">
        <x:v>sp-0031</x:v>
      </x:c>
      <x:c r="B92" s="3" t="str">
        <x:v>S3</x:v>
      </x:c>
      <x:c r="C92" s="3" t="str">
        <x:v>seed-sp-0031-v1</x:v>
      </x:c>
      <x:c r="D92" s="3" t="str">
        <x:v>independent-sp-0031-v1</x:v>
      </x:c>
      <x:c r="E92" s="3" t="str"/>
      <x:c r="F92" s="3" t="str"/>
      <x:c r="G92" s="3" t="str">
        <x:v>exc-sp-0031-s3</x:v>
      </x:c>
      <x:c r="H92" s="3" t="str">
        <x:v>needs_better_evidence</x:v>
      </x:c>
      <x:c r="I92" s="3" t="str">
        <x:v>Preserve the 0-1 range. A pilot connection combines cheap study iterations with one scarce physical connection and energized test sequence. No directly comparable fusion-grid case exists, and site reuse, network strength and outage rules can change the topology.</x:v>
      </x:c>
      <x:c r="J92" s="3" t="str"/>
      <x:c r="K92" s="3" t="str">
        <x:v>unresolved</x:v>
      </x:c>
      <x:c r="L92" s="3"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M92" s="3"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N92" s="3" t="str">
        <x:v>one_point_difference</x:v>
      </x:c>
      <x:c r="O92" s="3" t="str">
        <x:v>not_in_existing_backlog</x:v>
      </x:c>
    </x:row>
    <x:row r="93" ht="252" customHeight="1">
      <x:c r="A93" s="9" t="str">
        <x:v>sp-0031</x:v>
      </x:c>
      <x:c r="B93" s="9" t="str">
        <x:v>S4</x:v>
      </x:c>
      <x:c r="C93" s="9" t="str">
        <x:v>seed-sp-0031-v1</x:v>
      </x:c>
      <x:c r="D93" s="9" t="str">
        <x:v>independent-sp-0031-v1</x:v>
      </x:c>
      <x:c r="E93" s="9" t="str"/>
      <x:c r="F93" s="9" t="str"/>
      <x:c r="G93" s="9" t="str">
        <x:v>exc-sp-0031-s4</x:v>
      </x:c>
      <x:c r="H93" s="9" t="str">
        <x:v>needs_better_evidence</x:v>
      </x:c>
      <x:c r="I93" s="9" t="str">
        <x:v>Preserve the 0-1 range. Equipment delivery, switchyard work, outage windows and energization impose physical floors, but an existing power-plant site may reuse substantial infrastructure. The generic row is too underspecified for a single value without a site/pathway case.</x:v>
      </x:c>
      <x:c r="J93" s="9" t="str"/>
      <x:c r="K93" s="9" t="str">
        <x:v>unresolved</x:v>
      </x:c>
      <x:c r="L93" s="9"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M93" s="9"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N93" s="9" t="str">
        <x:v>one_point_difference</x:v>
      </x:c>
      <x:c r="O93" s="9" t="str">
        <x:v>not_in_existing_backlog</x:v>
      </x:c>
    </x:row>
    <x:row r="94" ht="252" customHeight="1">
      <x:c r="A94" s="3" t="str">
        <x:v>sp-0031</x:v>
      </x:c>
      <x:c r="B94" s="3" t="str">
        <x:v>S5</x:v>
      </x:c>
      <x:c r="C94" s="3" t="str">
        <x:v>seed-sp-0031-v1</x:v>
      </x:c>
      <x:c r="D94" s="3" t="str">
        <x:v>independent-sp-0031-v1</x:v>
      </x:c>
      <x:c r="E94" s="3" t="str"/>
      <x:c r="F94" s="3" t="str"/>
      <x:c r="G94" s="3" t="str">
        <x:v>exc-sp-0031-s5</x:v>
      </x:c>
      <x:c r="H94" s="3" t="str">
        <x:v>prefer_seed</x:v>
      </x:c>
      <x:c r="I94" s="3" t="str">
        <x:v>Select S5=1. Protection or integration errors can damage equipment and disturb a shared network, but layered protection, staged energization and utility operating procedures normally limit the direct consequence. This is very low tolerance, not automatically catastrophic or irreversible.</x:v>
      </x:c>
      <x:c r="J94" s="3" t="str"/>
      <x:c r="K94" s="3" t="str">
        <x:v>owner_preference_recorded</x:v>
      </x:c>
      <x:c r="L94" s="3"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M94" s="3"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N94" s="3" t="str">
        <x:v>one_point_difference</x:v>
      </x:c>
      <x:c r="O94" s="3" t="str">
        <x:v>owner_disposition_recorded_pending_targeted_s5_adjudication</x:v>
      </x:c>
    </x:row>
  </x:sheetData>
  <x:mergeCells>
    <x:mergeCell ref="A1:D1"/>
    <x:mergeCell ref="A2:D2"/>
  </x:mergeCells>
  <x:pageMargins left="0.7" right="0.7" top="0.75" bottom="0.75" header="0.3" footer="0.3"/>
  <x:tableParts count="1">
    <x:tablePart xmlns:r="http://schemas.openxmlformats.org/officeDocument/2006/relationships" r:id="R3c032d33a515483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3" hidden="0" customWidth="1"/>
    <x:col min="2" max="2" width="84" hidden="0" customWidth="1"/>
    <x:col min="3" max="3" width="106" hidden="0" customWidth="1"/>
    <x:col min="4" max="4" width="31" hidden="0" customWidth="1"/>
    <x:col min="5" max="5" width="35" hidden="0" customWidth="1"/>
    <x:col min="6" max="6" width="16" hidden="0" customWidth="1"/>
    <x:col min="7" max="7" width="107" hidden="0" customWidth="1"/>
    <x:col min="8" max="8" width="150" hidden="0" customWidth="1"/>
  </x:cols>
  <x:sheetData>
    <x:row r="1" ht="54" customHeight="1">
      <x:c r="A1" s="5" t="str">
        <x:v>Sources</x:v>
      </x:c>
      <x:c r="B1" s="5"/>
      <x:c r="C1" s="5"/>
      <x:c r="D1" s="5"/>
      <x:c r="E1" s="5"/>
      <x:c r="F1" s="5"/>
      <x:c r="G1" s="5"/>
      <x:c r="H1" s="5"/>
    </x:row>
    <x:row r="2" ht="43" customHeight="1">
      <x:c r="A2" s="6" t="str">
        <x:v>AI-assisted · recommendation only. Details extend to the right.</x:v>
      </x:c>
      <x:c r="B2" s="6"/>
      <x:c r="C2" s="6"/>
      <x:c r="D2" s="6"/>
      <x:c r="E2" s="6"/>
      <x:c r="F2" s="6"/>
      <x:c r="G2" s="6"/>
      <x:c r="H2" s="6"/>
    </x:row>
    <x:row r="3">
      <x:c r="A3" s="3"/>
      <x:c r="B3" s="3"/>
      <x:c r="C3" s="3"/>
      <x:c r="D3" s="3"/>
      <x:c r="E3" s="3"/>
      <x:c r="F3" s="3"/>
      <x:c r="G3" s="3"/>
      <x:c r="H3" s="3"/>
    </x:row>
    <x:row r="4" ht="43" customHeight="1">
      <x:c r="A4" s="8" t="str">
        <x:v>Canonical source ID</x:v>
      </x:c>
      <x:c r="B4" s="8" t="str">
        <x:v>Title</x:v>
      </x:c>
      <x:c r="C4" s="8" t="str">
        <x:v>Primary / publisher URL</x:v>
      </x:c>
      <x:c r="D4" s="8" t="str">
        <x:v>Independent-validation status</x:v>
      </x:c>
      <x:c r="E4" s="8" t="str">
        <x:v>Evidence basis (bank)</x:v>
      </x:c>
      <x:c r="F4" s="8" t="str">
        <x:v>Last verified</x:v>
      </x:c>
      <x:c r="G4" s="8" t="str">
        <x:v>Source limitation</x:v>
      </x:c>
      <x:c r="H4" s="8" t="str">
        <x:v>Promotion use restrictions</x:v>
      </x:c>
    </x:row>
    <x:row r="5" ht="76" customHeight="1">
      <x:c r="A5" s="9" t="str">
        <x:v>fusion-src-004</x:v>
      </x:c>
      <x:c r="B5" s="9" t="str">
        <x:v>Atomic Energy Law of the People's Republic of China</x:v>
      </x:c>
      <x:c r="C5" s="9" t="str">
        <x:v>https://www.caea.gov.cn/n6760338/n6760344/n10763762/n10763767/c10704020/content.html</x:v>
      </x:c>
      <x:c r="D5" s="9" t="str">
        <x:v>not_applicable</x:v>
      </x:c>
      <x:c r="E5" s="9" t="str">
        <x:v>observed legal/regulatory status</x:v>
      </x:c>
      <x:c r="F5" s="9" t="str">
        <x:v>2026-08-31</x:v>
      </x:c>
      <x:c r="G5" s="9" t="str">
        <x:v>An enacted law establishes legal status and authority; it is not a completed fusion licensing case or evidence of review duration. Earlier draft numbering differed, and final Article 37 concerns disused radioactive-source recovery/disposal.</x:v>
      </x:c>
      <x:c r="H5" s="9" t="str">
        <x:v>Source-record review only; no claim approval, S-value selection, or profile approval. Fusion-domain review remains pending before profile use. An enacted law establishes legal status and authority; it is not a completed fusion licensing case or evidence of review duration. Earlier draft numbering differed, and final Article 37 concerns disused radioactive-source recovery/disposal. Direct public quotation or load-bearing translated wording remains blocked until the stated native-language/specialist review is completed.</x:v>
      </x:c>
    </x:row>
    <x:row r="6" ht="44" customHeight="1">
      <x:c r="A6" s="3" t="str">
        <x:v>fusion-src-007</x:v>
      </x:c>
      <x:c r="B6" s="3" t="str">
        <x:v>High-fidelity data-driven dynamics model for reinforcement learning-based control in HL-3 tokamak</x:v>
      </x:c>
      <x:c r="C6" s="3" t="str">
        <x:v>https://doi.org/10.1038/s42005-025-02302-y</x:v>
      </x:c>
      <x:c r="D6" s="3" t="str">
        <x:v>independently_validated</x:v>
      </x:c>
      <x:c r="E6" s="3" t="str">
        <x:v>observed experimental result</x:v>
      </x:c>
      <x:c r="F6" s="3" t="str">
        <x:v>2026-08-31</x:v>
      </x:c>
      <x:c r="G6" s="3" t="str">
        <x:v>Research-device demonstration; no nuclear-safety case, plant reliability, or transfer to pilot conditions.</x:v>
      </x:c>
      <x:c r="H6" s="3" t="str">
        <x:v>Source-record review only; no claim approval, S-value selection, or profile approval. Fusion-domain review remains pending before profile use. Research-device demonstration; no nuclear-safety case, plant reliability, or transfer to pilot conditions.</x:v>
      </x:c>
    </x:row>
    <x:row r="7" ht="44" customHeight="1">
      <x:c r="A7" s="9" t="str">
        <x:v>fusion-src-008</x:v>
      </x:c>
      <x:c r="B7" s="9" t="str">
        <x:v>Interpretability analysis and real-time prediction of locked mode-induced disruptions in EAST</x:v>
      </x:c>
      <x:c r="C7" s="9" t="str">
        <x:v>https://doi.org/10.1088/1361-6587/ade5c5</x:v>
      </x:c>
      <x:c r="D7" s="9" t="str">
        <x:v>independently_validated</x:v>
      </x:c>
      <x:c r="E7" s="9" t="str">
        <x:v>proof of concept</x:v>
      </x:c>
      <x:c r="F7" s="9" t="str">
        <x:v>2026-08-31</x:v>
      </x:c>
      <x:c r="G7" s="9" t="str">
        <x:v>Prediction performance is not autonomous avoidance, safe termination, or pilot-plant error tolerance.</x:v>
      </x:c>
      <x:c r="H7" s="9" t="str">
        <x:v>Source-record review only; no claim approval, S-value selection, or profile approval. Fusion-domain review remains pending before profile use. Prediction performance is not autonomous avoidance, safe termination, or pilot-plant error tolerance.</x:v>
      </x:c>
    </x:row>
    <x:row r="8" ht="44" customHeight="1">
      <x:c r="A8" s="3" t="str">
        <x:v>fusion-src-009</x:v>
      </x:c>
      <x:c r="B8" s="3" t="str">
        <x:v>Automatic identification of tokamak plasma confinement states with multi-task learning neural network</x:v>
      </x:c>
      <x:c r="C8" s="3" t="str">
        <x:v>https://doi.org/10.1088/1741-4326/ade3ed</x:v>
      </x:c>
      <x:c r="D8" s="3" t="str">
        <x:v>independently_validated</x:v>
      </x:c>
      <x:c r="E8" s="3" t="str">
        <x:v>proof of concept</x:v>
      </x:c>
      <x:c r="F8" s="3" t="str">
        <x:v>2026-08-31</x:v>
      </x:c>
      <x:c r="G8" s="3" t="str">
        <x:v>Classification benchmark; not a closed-loop control or safety demonstration.</x:v>
      </x:c>
      <x:c r="H8" s="3" t="str">
        <x:v>Source-record review only; no claim approval, S-value selection, or profile approval. Fusion-domain review remains pending before profile use. Classification benchmark; not a closed-loop control or safety demonstration.</x:v>
      </x:c>
    </x:row>
    <x:row r="9" ht="156" customHeight="1">
      <x:c r="A9" s="9" t="str">
        <x:v>fusion-src-011</x:v>
      </x:c>
      <x:c r="B9" s="9" t="str">
        <x:v>Chinese fusion device sustains plasma operation for over 1,000 seconds</x:v>
      </x:c>
      <x:c r="C9" s="9" t="str">
        <x:v>https://www.sh.news.cn/20260410/696d097c4a6c41b9af5f654314252a04/c.html</x:v>
      </x:c>
      <x:c r="D9" s="9" t="str">
        <x:v>not_independently_validated</x:v>
      </x:c>
      <x:c r="E9" s="9" t="str">
        <x:v>observed facility milestone</x:v>
      </x:c>
      <x:c r="F9" s="9" t="str">
        <x:v>2026-08-31</x:v>
      </x:c>
      <x:c r="G9" s="9" t="str">
        <x:v>Official media repeats company data and explicitly describes low-parameter operation; not independent experimental validation, net energy, or plant availability.</x:v>
      </x:c>
      <x:c r="H9" s="9" t="str">
        <x:v>Source-record review only; no claim approval, S-value selection, or profile approval. Fusion-domain review remains pending before profile use. Official media repeats company data and explicitly describes low-parameter operation; not independent experimental validation, net energy, or plant availability. Reviewed source identity does not supply independent validation; company/operator reports and repeated company data must not be used as independently observed empirical outcomes. Rejected use fusion-rej-009: HH70 is a small, non-DT research tokamak without a breeder blanket, turbine, integrated tritium plant, or commercial nuclear commissioning. Permitted limited use: Optimistic analogue for small research-device iteration only. Do not transfer elapsed time to a pilot plant. Rejected use fusion-rej-010: Pulse duration and energy-turnover metrics omit blanket life, tritium-plant availability, component replacement, turbine/grid systems, downtime, and capacity factor. Permitted limited use: Plasma/facility milestone with device, discharge, and metric definitions preserved. No evidence of plant availability is implied.</x:v>
      </x:c>
    </x:row>
    <x:row r="10" ht="108" customHeight="1">
      <x:c r="A10" s="3" t="str">
        <x:v>fusion-src-012</x:v>
      </x:c>
      <x:c r="B10" s="3" t="str">
        <x:v>HH70 achieves first plasma</x:v>
      </x:c>
      <x:c r="C10" s="3" t="str">
        <x:v>https://energysingularity.cn/en/news/news-025.html</x:v>
      </x:c>
      <x:c r="D10" s="3" t="str">
        <x:v>not_independently_validated</x:v>
      </x:c>
      <x:c r="E10" s="3" t="str">
        <x:v>observed facility milestone</x:v>
      </x:c>
      <x:c r="F10" s="3" t="str">
        <x:v>2026-08-31</x:v>
      </x:c>
      <x:c r="G10" s="3" t="str">
        <x:v>First-party milestone; small non-DT device without blanket, tritium plant, turbine, or commercial licensing.</x:v>
      </x:c>
      <x:c r="H10" s="3" t="str">
        <x:v>Source-record review only; no claim approval, S-value selection, or profile approval. Fusion-domain review remains pending before profile use. First-party milestone; small non-DT device without blanket, tritium plant, turbine, or commercial licensing. Reviewed source identity does not supply independent validation; company/operator reports and repeated company data must not be used as independently observed empirical outcomes. Rejected use fusion-rej-009: HH70 is a small, non-DT research tokamak without a breeder blanket, turbine, integrated tritium plant, or commercial nuclear commissioning. Permitted limited use: Optimistic analogue for small research-device iteration only. Do not transfer elapsed time to a pilot plant.</x:v>
      </x:c>
    </x:row>
    <x:row r="11" ht="44" customHeight="1">
      <x:c r="A11" s="9" t="str">
        <x:v>fusion-src-014</x:v>
      </x:c>
      <x:c r="B11" s="9" t="str">
        <x:v>Development and construction of magnet system for world's first full high temperature superconducting tokamak</x:v>
      </x:c>
      <x:c r="C11" s="9" t="str">
        <x:v>https://doi.org/10.1016/j.supcon.2024.100137</x:v>
      </x:c>
      <x:c r="D11" s="9" t="str">
        <x:v>independently_validated</x:v>
      </x:c>
      <x:c r="E11" s="9" t="str">
        <x:v>proof of concept</x:v>
      </x:c>
      <x:c r="F11" s="9" t="str">
        <x:v>2026-08-31</x:v>
      </x:c>
      <x:c r="G11" s="9" t="str">
        <x:v>Magnet engineering does not validate the 1,337-second AI causal claim or a fusion power plant.</x:v>
      </x:c>
      <x:c r="H11" s="9" t="str">
        <x:v>Source-record review only; no claim approval, S-value selection, or profile approval. Fusion-domain review remains pending before profile use. Magnet engineering does not validate the 1,337-second AI causal claim or a fusion power plant.</x:v>
      </x:c>
    </x:row>
    <x:row r="12" ht="44" customHeight="1">
      <x:c r="A12" s="3" t="str">
        <x:v>fusion-src-017</x:v>
      </x:c>
      <x:c r="B12" s="3" t="str">
        <x:v>Magnetic control of tokamak plasmas through deep reinforcement learning</x:v>
      </x:c>
      <x:c r="C12" s="3" t="str">
        <x:v>https://doi.org/10.1038/s41586-021-04301-9</x:v>
      </x:c>
      <x:c r="D12" s="3" t="str">
        <x:v>independently_validated</x:v>
      </x:c>
      <x:c r="E12" s="3" t="str">
        <x:v>observed experimental result</x:v>
      </x:c>
      <x:c r="F12" s="3" t="str">
        <x:v>2026-08-31</x:v>
      </x:c>
      <x:c r="G12" s="3" t="str">
        <x:v>Research tokamak; does not establish pilot-plant transfer, safety, reliability, or reduced nuclear commissioning time.</x:v>
      </x:c>
      <x:c r="H12" s="3" t="str">
        <x:v>Source-record review only; no claim approval, S-value selection, or profile approval. Fusion-domain review remains pending before profile use. Research tokamak; does not establish pilot-plant transfer, safety, reliability, or reduced nuclear commissioning time.</x:v>
      </x:c>
    </x:row>
    <x:row r="13" ht="44" customHeight="1">
      <x:c r="A13" s="9" t="str">
        <x:v>fusion-src-018</x:v>
      </x:c>
      <x:c r="B13" s="9" t="str">
        <x:v>Avoiding fusion plasma tearing instability with deep reinforcement learning</x:v>
      </x:c>
      <x:c r="C13" s="9" t="str">
        <x:v>https://doi.org/10.1038/s41586-024-07024-9</x:v>
      </x:c>
      <x:c r="D13" s="9" t="str">
        <x:v>independently_validated</x:v>
      </x:c>
      <x:c r="E13" s="9" t="str">
        <x:v>observed experimental result</x:v>
      </x:c>
      <x:c r="F13" s="9" t="str">
        <x:v>2026-08-31</x:v>
      </x:c>
      <x:c r="G13" s="9" t="str">
        <x:v>Early proof of concept on a research device; not universal disruption avoidance or a nuclear-safety system.</x:v>
      </x:c>
      <x:c r="H13" s="9" t="str">
        <x:v>Source-record review only; no claim approval, S-value selection, or profile approval. Fusion-domain review remains pending before profile use. Early proof of concept on a research device; not universal disruption avoidance or a nuclear-safety system.</x:v>
      </x:c>
    </x:row>
    <x:row r="14" ht="92" customHeight="1">
      <x:c r="A14" s="3" t="str">
        <x:v>fusion-src-019</x:v>
      </x:c>
      <x:c r="B14" s="3" t="str">
        <x:v>Highest fusion performance without harmful edge energy bursts in tokamak</x:v>
      </x:c>
      <x:c r="C14" s="3" t="str">
        <x:v>https://doi.org/10.1038/s41467-024-48415-w</x:v>
      </x:c>
      <x:c r="D14" s="3" t="str">
        <x:v>independently_validated</x:v>
      </x:c>
      <x:c r="E14" s="3" t="str">
        <x:v>observed experimental result</x:v>
      </x:c>
      <x:c r="F14" s="3" t="str">
        <x:v>2026-08-31</x:v>
      </x:c>
      <x:c r="G14" s="3" t="str">
        <x:v>Device- and scenario-specific experiment; the pack's simplified 'up to 90%' line is not promoted without a metric-matched locator.</x:v>
      </x:c>
      <x:c r="H14" s="3" t="str">
        <x:v>Source-record review only; no claim approval, S-value selection, or profile approval. Fusion-domain review remains pending before profile use. Device- and scenario-specific experiment; the pack's simplified 'up to 90%' line is not promoted without a metric-matched locator. Rejected use fusion-rej-005: The paper reports several device- and metric-specific changes; the pack's compressed percentage omits the exact metric, denominator, device, and condition. Permitted limited use: Cite the peer-reviewed cross-device experiment qualitatively or extract a metric-specific value with a Results/figure locator. The source remains staged; only the simplified number is rejected.</x:v>
      </x:c>
    </x:row>
    <x:row r="15" ht="44" customHeight="1">
      <x:c r="A15" s="9" t="str">
        <x:v>fusion-src-020</x:v>
      </x:c>
      <x:c r="B15" s="9" t="str">
        <x:v>Disruption prediction for future tokamaks using parameter-based transfer learning</x:v>
      </x:c>
      <x:c r="C15" s="9" t="str">
        <x:v>https://doi.org/10.1038/s42005-023-01296-9</x:v>
      </x:c>
      <x:c r="D15" s="9" t="str">
        <x:v>independently_validated</x:v>
      </x:c>
      <x:c r="E15" s="9" t="str">
        <x:v>proof of concept</x:v>
      </x:c>
      <x:c r="F15" s="9" t="str">
        <x:v>2026-08-31</x:v>
      </x:c>
      <x:c r="G15" s="9" t="str">
        <x:v>Offline, small-target-domain proof of concept; not live transfer to a future pilot plant.</x:v>
      </x:c>
      <x:c r="H15" s="9" t="str">
        <x:v>Source-record review only; no claim approval, S-value selection, or profile approval. Fusion-domain review remains pending before profile use. Offline, small-target-domain proof of concept; not live transfer to a future pilot plant.</x:v>
      </x:c>
    </x:row>
    <x:row r="16" ht="44" customHeight="1">
      <x:c r="A16" s="3" t="str">
        <x:v>fusion-src-021</x:v>
      </x:c>
      <x:c r="B16" s="3" t="str">
        <x:v>Multimodal super-resolution: discovering hidden physics and its application to fusion plasmas</x:v>
      </x:c>
      <x:c r="C16" s="3" t="str">
        <x:v>https://doi.org/10.1038/s41467-025-63492-1</x:v>
      </x:c>
      <x:c r="D16" s="3" t="str">
        <x:v>independently_validated</x:v>
      </x:c>
      <x:c r="E16" s="3" t="str">
        <x:v>proof of concept</x:v>
      </x:c>
      <x:c r="F16" s="3" t="str">
        <x:v>2026-08-31</x:v>
      </x:c>
      <x:c r="G16" s="3" t="str">
        <x:v>Retrospective/synthetic diagnostic reconstruction; not a qualified replacement for safety instrumentation.</x:v>
      </x:c>
      <x:c r="H16" s="3" t="str">
        <x:v>Source-record review only; no claim approval, S-value selection, or profile approval. Fusion-domain review remains pending before profile use. Retrospective/synthetic diagnostic reconstruction; not a qualified replacement for safety instrumentation.</x:v>
      </x:c>
    </x:row>
    <x:row r="17" ht="44" customHeight="1">
      <x:c r="A17" s="9" t="str">
        <x:v>fusion-src-022</x:v>
      </x:c>
      <x:c r="B17" s="9" t="str">
        <x:v>GS-DeepNet: mastering tokamak plasma equilibria with deep neural networks and the Grad–Shafranov equation</x:v>
      </x:c>
      <x:c r="C17" s="9" t="str">
        <x:v>https://doi.org/10.1038/s41598-023-42991-5</x:v>
      </x:c>
      <x:c r="D17" s="9" t="str">
        <x:v>independently_validated</x:v>
      </x:c>
      <x:c r="E17" s="9" t="str">
        <x:v>proof of concept</x:v>
      </x:c>
      <x:c r="F17" s="9" t="str">
        <x:v>2026-08-31</x:v>
      </x:c>
      <x:c r="G17" s="9" t="str">
        <x:v>Model benchmark; not a closed-loop or safety-qualified deployment.</x:v>
      </x:c>
      <x:c r="H17" s="9" t="str">
        <x:v>Source-record review only; no claim approval, S-value selection, or profile approval. Fusion-domain review remains pending before profile use. Model benchmark; not a closed-loop or safety-qualified deployment.</x:v>
      </x:c>
    </x:row>
    <x:row r="18" ht="60" customHeight="1">
      <x:c r="A18" s="3" t="str">
        <x:v>fusion-src-023</x:v>
      </x:c>
      <x:c r="B18" s="3" t="str">
        <x:v>Finding the shadows in a fusion system faster with AI</x:v>
      </x:c>
      <x:c r="C18" s="3" t="str">
        <x:v>https://www.pppl.gov/news/2025/finding-shadows-fusion-system-faster-ai</x:v>
      </x:c>
      <x:c r="D18" s="3" t="str">
        <x:v>independently_validated</x:v>
      </x:c>
      <x:c r="E18" s="3" t="str">
        <x:v>proof of concept</x:v>
      </x:c>
      <x:c r="F18" s="3" t="str">
        <x:v>2026-08-31</x:v>
      </x:c>
      <x:c r="G18" s="3" t="str">
        <x:v>The present method covers 15 tiles in a small part of SPARC's exhaust geometry and is tied to that design; it is not plant-level schedule acceleration, materials qualification, or a generic plasma-facing-component result.</x:v>
      </x:c>
      <x:c r="H18" s="3" t="str">
        <x:v>Source-record review only; no claim approval, S-value selection, or profile approval. Fusion-domain review remains pending before profile use. The present method covers 15 tiles in a small part of SPARC's exhaust geometry and is tied to that design; it is not plant-level schedule acceleration, materials qualification, or a generic plasma-facing-component result.</x:v>
      </x:c>
    </x:row>
    <x:row r="19" ht="60" customHeight="1">
      <x:c r="A19" s="9" t="str">
        <x:v>fusion-src-024</x:v>
      </x:c>
      <x:c r="B19" s="9" t="str">
        <x:v>PPPL launches STELLAR-AI platform to accelerate fusion energy research</x:v>
      </x:c>
      <x:c r="C19" s="9" t="str">
        <x:v>https://www.pppl.gov/news/2026/pppl-launches-stellar-ai-platform-accelerate-fusion-energy-research</x:v>
      </x:c>
      <x:c r="D19" s="9" t="str">
        <x:v>not_applicable</x:v>
      </x:c>
      <x:c r="E19" s="9" t="str">
        <x:v>programme announcement</x:v>
      </x:c>
      <x:c r="F19" s="9" t="str">
        <x:v>2026-08-31</x:v>
      </x:c>
      <x:c r="G19" s="9" t="str">
        <x:v>Programme announcement and capability intent, not an observed AI-shortened research cycle; its 'NSTX-U this year' wording was superseded by a 2027 experiment target.</x:v>
      </x:c>
      <x:c r="H19" s="9" t="str">
        <x:v>Source-record review only; no claim approval, S-value selection, or profile approval. Fusion-domain review remains pending before profile use. Programme announcement and capability intent, not an observed AI-shortened research cycle; its 'NSTX-U this year' wording was superseded by a 2027 experiment target.</x:v>
      </x:c>
    </x:row>
    <x:row r="20" ht="92" customHeight="1">
      <x:c r="A20" s="3" t="str">
        <x:v>fusion-src-026</x:v>
      </x:c>
      <x:c r="B20" s="3" t="str">
        <x:v>MPEX user research forum 2026</x:v>
      </x:c>
      <x:c r="C20" s="3" t="str">
        <x:v>https://mpex.ornl.gov/murf-2026/</x:v>
      </x:c>
      <x:c r="D20" s="3" t="str">
        <x:v>not_applicable</x:v>
      </x:c>
      <x:c r="E20" s="3" t="str">
        <x:v>programme announcement</x:v>
      </x:c>
      <x:c r="F20" s="3" t="str">
        <x:v>2026-08-31</x:v>
      </x:c>
      <x:c r="G20" s="3" t="str">
        <x:v>MPEX does not itself supply a fusion-spectrum neutron field; intended capability is not an observed qualification programme.</x:v>
      </x:c>
      <x:c r="H20" s="3" t="str">
        <x:v>Source-record review only; no claim approval, S-value selection, or profile approval. Fusion-domain review remains pending before profile use. MPEX does not itself supply a fusion-spectrum neutron field; intended capability is not an observed qualification programme. Rejected use fusion-rej-011: MPEX is a plasma-materials exposure facility under assembly; it can test already neutron-irradiated specimens but is not itself a fusion-spectrum neutron source. Permitted limited use: Official intended capability for reactor-edge plasma exposure. Do not call intended capability completed qualification.</x:v>
      </x:c>
    </x:row>
    <x:row r="21" ht="44" customHeight="1">
      <x:c r="A21" s="9" t="str">
        <x:v>fusion-src-027</x:v>
      </x:c>
      <x:c r="B21" s="9" t="str">
        <x:v>AI-accelerated fusion materials test facility</x:v>
      </x:c>
      <x:c r="C21" s="9" t="str">
        <x:v>https://www.ornl.gov/research-highlight/ai-accelerated-fusion-materials-test-facility</x:v>
      </x:c>
      <x:c r="D21" s="9" t="str">
        <x:v>not_applicable</x:v>
      </x:c>
      <x:c r="E21" s="9" t="str">
        <x:v>programme announcement</x:v>
      </x:c>
      <x:c r="F21" s="9" t="str">
        <x:v>2026-08-31</x:v>
      </x:c>
      <x:c r="G21" s="9" t="str">
        <x:v>Announced/developing capability, not demonstrated materials qualification or component-life acceleration.</x:v>
      </x:c>
      <x:c r="H21" s="9" t="str">
        <x:v>Source-record review only; no claim approval, S-value selection, or profile approval. Fusion-domain review remains pending before profile use. Announced/developing capability, not demonstrated materials qualification or component-life acceleration.</x:v>
      </x:c>
    </x:row>
    <x:row r="22" ht="44" customHeight="1">
      <x:c r="A22" s="3" t="str">
        <x:v>fusion-src-028</x:v>
      </x:c>
      <x:c r="B22" s="3" t="str">
        <x:v>Fusion Science and Technology Roadmap</x:v>
      </x:c>
      <x:c r="C22" s="3" t="str">
        <x:v>https://www.energy.gov/documents/fusion-science-and-technology-roadmap</x:v>
      </x:c>
      <x:c r="D22" s="3" t="str">
        <x:v>not_applicable</x:v>
      </x:c>
      <x:c r="E22" s="3" t="str">
        <x:v>programme announcement</x:v>
      </x:c>
      <x:c r="F22" s="3" t="str">
        <x:v>2026-08-31</x:v>
      </x:c>
      <x:c r="G22" s="3" t="str">
        <x:v>Official roadmap and targets, not observed reductions in materials, blanket, tritium, licensing, or construction time.</x:v>
      </x:c>
      <x:c r="H22" s="3" t="str">
        <x:v>Source-record review only; no claim approval, S-value selection, or profile approval. Fusion-domain review remains pending before profile use. Official roadmap and targets, not observed reductions in materials, blanket, tritium, licensing, or construction time.</x:v>
      </x:c>
    </x:row>
    <x:row r="23" ht="60" customHeight="1">
      <x:c r="A23" s="9" t="str">
        <x:v>fusion-src-029</x:v>
      </x:c>
      <x:c r="B23" s="9" t="str">
        <x:v>DIII-D National Fusion Program completes facility upgrade</x:v>
      </x:c>
      <x:c r="C23" s="9" t="str">
        <x:v>https://www.ga.com/diii-d-national-fusion-program-completes-facility-upgrade</x:v>
      </x:c>
      <x:c r="D23" s="9" t="str">
        <x:v>not_independently_validated</x:v>
      </x:c>
      <x:c r="E23" s="9" t="str">
        <x:v>observed facility milestone</x:v>
      </x:c>
      <x:c r="F23" s="9" t="str">
        <x:v>2026-08-31</x:v>
      </x:c>
      <x:c r="G23" s="9" t="str">
        <x:v>Facility milestone, not an AI result or a directly comparable nuclear commissioning programme.</x:v>
      </x:c>
      <x:c r="H23" s="9" t="str">
        <x:v>Source-record review only; no claim approval, S-value selection, or profile approval. Fusion-domain review remains pending before profile use. Facility milestone, not an AI result or a directly comparable nuclear commissioning programme. Reviewed source identity does not supply independent validation; company/operator reports and repeated company data must not be used as independently observed empirical outcomes.</x:v>
      </x:c>
    </x:row>
    <x:row r="24" ht="124" customHeight="1">
      <x:c r="A24" s="3" t="str">
        <x:v>fusion-src-031</x:v>
      </x:c>
      <x:c r="B24" s="3" t="str">
        <x:v>SPARC technology page</x:v>
      </x:c>
      <x:c r="C24" s="3" t="str">
        <x:v>https://www.cfs.energy/technology/</x:v>
      </x:c>
      <x:c r="D24" s="3" t="str">
        <x:v>not_independently_validated</x:v>
      </x:c>
      <x:c r="E24" s="3" t="str">
        <x:v>company target</x:v>
      </x:c>
      <x:c r="F24" s="3" t="str">
        <x:v>2026-08-31</x:v>
      </x:c>
      <x:c r="G24" s="3" t="str">
        <x:v>Company target and living page; no observed Q&gt;1 result or grid connection.</x:v>
      </x:c>
      <x:c r="H24" s="3" t="str">
        <x:v>Source-record review only; no claim approval, S-value selection, or profile approval. Fusion-domain review remains pending before profile use. Company target and living page; no observed Q&gt;1 result or grid connection. Reviewed source identity does not supply independent validation; company/operator reports and repeated company data must not be used as independently observed empirical outcomes. Rejected use fusion-rej-013: Targets and programme announcements do not demonstrate net energy, electricity export, fuel self-sufficiency, availability, or grid connection. Permitted limited use: Target tracking with owner, date, pathway, and target status preserved. No target is typed as an observed result. Promotion freshness check 2026-09-01: CFS SPARC milestones still place construction in progress and first plasma/net energy in the future; no outcome approval.</x:v>
      </x:c>
    </x:row>
    <x:row r="25" ht="108" customHeight="1">
      <x:c r="A25" s="9" t="str">
        <x:v>fusion-src-032</x:v>
      </x:c>
      <x:c r="B25" s="9" t="str">
        <x:v>New best values at Wendelstein 7-X</x:v>
      </x:c>
      <x:c r="C25" s="9" t="str">
        <x:v>https://www.ipp.mpg.de/5532474/w7x</x:v>
      </x:c>
      <x:c r="D25" s="9" t="str">
        <x:v>not_applicable</x:v>
      </x:c>
      <x:c r="E25" s="9" t="str">
        <x:v>observed experimental result</x:v>
      </x:c>
      <x:c r="F25" s="9" t="str">
        <x:v>2026-08-31</x:v>
      </x:c>
      <x:c r="G25" s="9" t="str">
        <x:v>Different discharges/metrics; neither is net energy, DT operation, plant availability, or blanket life.</x:v>
      </x:c>
      <x:c r="H25" s="9" t="str">
        <x:v>Source-record review only; no claim approval, S-value selection, or profile approval. Fusion-domain review remains pending before profile use. Different discharges/metrics; neither is net energy, DT operation, plant availability, or blanket life. Direct public quotation or load-bearing translated wording remains blocked until the stated native-language/specialist review is completed. Rejected use fusion-rej-010: Pulse duration and energy-turnover metrics omit blanket life, tritium-plant availability, component replacement, turbine/grid systems, downtime, and capacity factor. Permitted limited use: Plasma/facility milestone with device, discharge, and metric definitions preserved. No evidence of plant availability is implied.</x:v>
      </x:c>
    </x:row>
    <x:row r="26" ht="44" customHeight="1">
      <x:c r="A26" s="3" t="str">
        <x:v>fusion-src-033</x:v>
      </x:c>
      <x:c r="B26" s="3" t="str">
        <x:v>First plasma 23 October</x:v>
      </x:c>
      <x:c r="C26" s="3" t="str">
        <x:v>https://www.jt60sa.org/wp/first-plasma-23-october/</x:v>
      </x:c>
      <x:c r="D26" s="3" t="str">
        <x:v>not_applicable</x:v>
      </x:c>
      <x:c r="E26" s="3" t="str">
        <x:v>observed facility milestone</x:v>
      </x:c>
      <x:c r="F26" s="3" t="str">
        <x:v>2026-08-31</x:v>
      </x:c>
      <x:c r="G26" s="3" t="str">
        <x:v>Low-power research commissioning milestone; not high-power operation, DT commissioning, or commercial reliability.</x:v>
      </x:c>
      <x:c r="H26" s="3" t="str">
        <x:v>Source-record review only; no claim approval, S-value selection, or profile approval. Fusion-domain review remains pending before profile use. Low-power research commissioning milestone; not high-power operation, DT commissioning, or commercial reliability.</x:v>
      </x:c>
    </x:row>
    <x:row r="27" ht="44" customHeight="1">
      <x:c r="A27" s="9" t="str">
        <x:v>fusion-src-034</x:v>
      </x:c>
      <x:c r="B27" s="9" t="str">
        <x:v>OP2 has started</x:v>
      </x:c>
      <x:c r="C27" s="9" t="str">
        <x:v>https://www.jt60sa.org/wp/op2-has-started/</x:v>
      </x:c>
      <x:c r="D27" s="9" t="str">
        <x:v>not_applicable</x:v>
      </x:c>
      <x:c r="E27" s="9" t="str">
        <x:v>official target</x:v>
      </x:c>
      <x:c r="F27" s="9" t="str">
        <x:v>2026-08-31</x:v>
      </x:c>
      <x:c r="G27" s="9" t="str">
        <x:v>Mixed current facility milestone and future target; not proof that the experimental campaign or high-power commissioning is complete.</x:v>
      </x:c>
      <x:c r="H27" s="9" t="str">
        <x:v>Source-record review only; no claim approval, S-value selection, or profile approval. Fusion-domain review remains pending before profile use. Mixed current facility milestone and future target; not proof that the experimental campaign or high-power commissioning is complete.</x:v>
      </x:c>
    </x:row>
    <x:row r="28" ht="44" customHeight="1">
      <x:c r="A28" s="3" t="str">
        <x:v>fusion-src-036</x:v>
      </x:c>
      <x:c r="B28" s="3" t="str">
        <x:v>ITER Machine Assembly Overview</x:v>
      </x:c>
      <x:c r="C28" s="3" t="str">
        <x:v>https://www.iter.org/project/assembly-overview</x:v>
      </x:c>
      <x:c r="D28" s="3" t="str">
        <x:v>not_applicable</x:v>
      </x:c>
      <x:c r="E28" s="3" t="str">
        <x:v>official target</x:v>
      </x:c>
      <x:c r="F28" s="3" t="str">
        <x:v>2026-08-31</x:v>
      </x:c>
      <x:c r="G28" s="3" t="str">
        <x:v>Official baseline proposal, not observed completion; later phases add nuclear/tritium systems.</x:v>
      </x:c>
      <x:c r="H28" s="3" t="str">
        <x:v>Source-record review only; no claim approval, S-value selection, or profile approval. Fusion-domain review remains pending before profile use. Official baseline proposal, not observed completion; later phases add nuclear/tritium systems.</x:v>
      </x:c>
    </x:row>
    <x:row r="29" ht="44" customHeight="1">
      <x:c r="A29" s="9" t="str">
        <x:v>fusion-src-037</x:v>
      </x:c>
      <x:c r="B29" s="9" t="str">
        <x:v>Millions of data points, one successful lift</x:v>
      </x:c>
      <x:c r="C29" s="9" t="str">
        <x:v>https://www.iter.org/node/20687/millions-data-points-one-successful-lift</x:v>
      </x:c>
      <x:c r="D29" s="9" t="str">
        <x:v>not_applicable</x:v>
      </x:c>
      <x:c r="E29" s="9" t="str">
        <x:v>observed facility milestone</x:v>
      </x:c>
      <x:c r="F29" s="9" t="str">
        <x:v>2026-08-31</x:v>
      </x:c>
      <x:c r="G29" s="9" t="str">
        <x:v>Observed construction/facility milestone only; not an AI result, integrated chamber completion, commissioning, or plant completion.</x:v>
      </x:c>
      <x:c r="H29" s="9" t="str">
        <x:v>Source-record review only; no claim approval, S-value selection, or profile approval. Fusion-domain review remains pending before profile use. Observed construction/facility milestone only; not an AI result, integrated chamber completion, commissioning, or plant completion.</x:v>
      </x:c>
    </x:row>
    <x:row r="30" ht="44" customHeight="1">
      <x:c r="A30" s="3" t="str">
        <x:v>fusion-src-038</x:v>
      </x:c>
      <x:c r="B30" s="3" t="str">
        <x:v>Tritium breeding</x:v>
      </x:c>
      <x:c r="C30" s="3" t="str">
        <x:v>https://www.iter.org/machine/supporting-systems/tritium-breeding</x:v>
      </x:c>
      <x:c r="D30" s="3" t="str">
        <x:v>not_applicable</x:v>
      </x:c>
      <x:c r="E30" s="3" t="str">
        <x:v>programme announcement</x:v>
      </x:c>
      <x:c r="F30" s="3" t="str">
        <x:v>2026-08-31</x:v>
      </x:c>
      <x:c r="G30" s="3" t="str">
        <x:v>Future test programme; ITER is not a tritium-self-sufficient power plant and testing is not qualification of a commercial blanket.</x:v>
      </x:c>
      <x:c r="H30" s="3" t="str">
        <x:v>Source-record review only; no claim approval, S-value selection, or profile approval. Fusion-domain review remains pending before profile use. Future test programme; ITER is not a tritium-self-sufficient power plant and testing is not qualification of a commercial blanket.</x:v>
      </x:c>
    </x:row>
    <x:row r="31" ht="44" customHeight="1">
      <x:c r="A31" s="9" t="str">
        <x:v>fusion-src-039</x:v>
      </x:c>
      <x:c r="B31" s="9" t="str">
        <x:v>Regulatory Framework for Fusion Machines; Proposed Rule</x:v>
      </x:c>
      <x:c r="C31" s="9" t="str">
        <x:v>https://www.federalregister.gov/documents/2026/02/26/2026-03865/regulatory-framework-for-fusion-machines</x:v>
      </x:c>
      <x:c r="D31" s="9" t="str">
        <x:v>not_applicable</x:v>
      </x:c>
      <x:c r="E31" s="9" t="str">
        <x:v>observed legal/regulatory status</x:v>
      </x:c>
      <x:c r="F31" s="9" t="str">
        <x:v>2026-08-31</x:v>
      </x:c>
      <x:c r="G31" s="9" t="str">
        <x:v>Proposed rule and draft guidance, not a final rule, observed plant-licence review, or licence-review-duration dataset.</x:v>
      </x:c>
      <x:c r="H31" s="9" t="str">
        <x:v>Source-record review only; no claim approval, S-value selection, or profile approval. Fusion-domain review remains pending before profile use. Proposed rule and draft guidance, not a final rule, observed plant-licence review, or licence-review-duration dataset.</x:v>
      </x:c>
    </x:row>
    <x:row r="32" ht="76" customHeight="1">
      <x:c r="A32" s="3" t="str">
        <x:v>fusion-src-040</x:v>
      </x:c>
      <x:c r="B32" s="3" t="str">
        <x:v>Fusion Machine Rulemaking Status</x:v>
      </x:c>
      <x:c r="C32" s="3" t="str">
        <x:v>https://www.nrc.gov/materials/fusion/rulemaking-status</x:v>
      </x:c>
      <x:c r="D32" s="3" t="str">
        <x:v>not_applicable</x:v>
      </x:c>
      <x:c r="E32" s="3" t="str">
        <x:v>observed legal/regulatory status</x:v>
      </x:c>
      <x:c r="F32" s="3" t="str">
        <x:v>2026-08-31</x:v>
      </x:c>
      <x:c r="G32" s="3" t="str">
        <x:v>Current regulator status, not evidence of licence throughput, a completed plant application, or licence-review duration.</x:v>
      </x:c>
      <x:c r="H32" s="3" t="str">
        <x:v>Source-record review only; no claim approval, S-value selection, or profile approval. Fusion-domain review remains pending before profile use. Current regulator status, not evidence of licence throughput, a completed plant application, or licence-review duration. Promotion freshness check 2026-09-01: NRC status page still lists the February proposed rule and draft guidance; footer remains 2026-08-27. No final rule or completed licence case is inferred.</x:v>
      </x:c>
    </x:row>
    <x:row r="33" ht="60" customHeight="1">
      <x:c r="A33" s="9" t="str">
        <x:v>fusion-src-045</x:v>
      </x:c>
      <x:c r="B33" s="9" t="str">
        <x:v>The IFMIF-DONES Irradiation Modules</x:v>
      </x:c>
      <x:c r="C33" s="9" t="str">
        <x:v>https://doi.org/10.1088/1741-4326/add172</x:v>
      </x:c>
      <x:c r="D33" s="9" t="str">
        <x:v>independently_validated</x:v>
      </x:c>
      <x:c r="E33" s="9" t="str">
        <x:v>model or scenario estimate</x:v>
      </x:c>
      <x:c r="F33" s="9" t="str">
        <x:v>2026-08-31</x:v>
      </x:c>
      <x:c r="G33" s="9" t="str">
        <x:v>IFMIF-DONES and its modules are under design/development; no completed or accepted qualification dataset exists. Spectrum/transmutation matching is material-dependent: Eurofer is tailored, while tungsten/copper conditions are not perfectly matched.</x:v>
      </x:c>
      <x:c r="H33" s="9" t="str">
        <x:v>Source-record review only; no claim approval, S-value selection, or profile approval. Fusion-domain review remains pending before profile use. IFMIF-DONES and its modules are under design/development; no completed or accepted qualification dataset exists. Spectrum/transmutation matching is material-dependent: Eurofer is tailored, while tungsten/copper conditions are not perfectly matched.</x:v>
      </x:c>
    </x:row>
    <x:row r="34" ht="60" customHeight="1">
      <x:c r="A34" s="3" t="str">
        <x:v>fusion-src-046</x:v>
      </x:c>
      <x:c r="B34" s="3" t="str">
        <x:v>IFMIF-DONES: Experimental strategy for fusion materials qualification</x:v>
      </x:c>
      <x:c r="C34" s="3" t="str">
        <x:v>https://conferences.iaea.org/event/406/contributions/37622/</x:v>
      </x:c>
      <x:c r="D34" s="3" t="str">
        <x:v>not_applicable</x:v>
      </x:c>
      <x:c r="E34" s="3" t="str">
        <x:v>official target</x:v>
      </x:c>
      <x:c r="F34" s="3" t="str">
        <x:v>2026-08-31</x:v>
      </x:c>
      <x:c r="G34" s="3" t="str">
        <x:v>The facility is under construction and the values are programme design targets, not observed irradiation campaigns or a completed accepted qualification dataset. Post-irradiation examination remains part of the qualification chain.</x:v>
      </x:c>
      <x:c r="H34" s="3" t="str">
        <x:v>Source-record review only; no claim approval, S-value selection, or profile approval. Fusion-domain review remains pending before profile use. The facility is under construction and the values are programme design targets, not observed irradiation campaigns or a completed accepted qualification dataset. Post-irradiation examination remains part of the qualification chain.</x:v>
      </x:c>
    </x:row>
  </x:sheetData>
  <x:mergeCells>
    <x:mergeCell ref="A1:D1"/>
    <x:mergeCell ref="A2:D2"/>
  </x:mergeCells>
  <x:pageMargins left="0.7" right="0.7" top="0.75" bottom="0.75" header="0.3" footer="0.3"/>
  <x:tableParts count="1">
    <x:tablePart xmlns:r="http://schemas.openxmlformats.org/officeDocument/2006/relationships" r:id="R7519c5bc59404bbe"/>
  </x:tableParts>
</x:worksheet>
</file>