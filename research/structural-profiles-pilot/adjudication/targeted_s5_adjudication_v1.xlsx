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f89b2371564e7a" /></Relationships>
</file>

<file path=xl/workbook.xml><?xml version="1.0" encoding="utf-8"?>
<x:workbook xmlns:x="http://schemas.openxmlformats.org/spreadsheetml/2006/main">
  <x:sheets>
    <x:sheet xmlns:r="http://schemas.openxmlformats.org/officeDocument/2006/relationships" name="Start Here" sheetId="1" r:id="R515753fda2b34c2d"/>
    <x:sheet xmlns:r="http://schemas.openxmlformats.org/officeDocument/2006/relationships" name="Adjudication" sheetId="2" r:id="Ref48923e7147477e"/>
    <x:sheet xmlns:r="http://schemas.openxmlformats.org/officeDocument/2006/relationships" name="Software" sheetId="3" r:id="R8663a8e1a030450e"/>
    <x:sheet xmlns:r="http://schemas.openxmlformats.org/officeDocument/2006/relationships" name="Manufacturing" sheetId="4" r:id="Rac546562dc6946eb"/>
    <x:sheet xmlns:r="http://schemas.openxmlformats.org/officeDocument/2006/relationships" name="Fusion" sheetId="5" r:id="R57b2e8f03a70446c"/>
    <x:sheet xmlns:r="http://schemas.openxmlformats.org/officeDocument/2006/relationships" name="Unresolved" sheetId="6" r:id="R747c9603d50041d3"/>
    <x:sheet xmlns:r="http://schemas.openxmlformats.org/officeDocument/2006/relationships" name="Expert Packages" sheetId="7" r:id="Rf18efd36eb4b48c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1">
    <x:font>
      <x:sz val="11"/>
      <x:name val="Carlito"/>
    </x:font>
    <x:font>
      <x:sz val="11"/>
      <x:color rgb="FF17211F"/>
      <x:name val="Carlito"/>
    </x:font>
    <x:font>
      <x:b/>
      <x:sz val="18"/>
      <x:color rgb="FFFFFFFF"/>
      <x:name val="Carlito"/>
    </x:font>
    <x:font>
      <x:i/>
      <x:sz val="10"/>
      <x:color rgb="FF17211F"/>
      <x:name val="Carlito"/>
    </x:font>
    <x:font>
      <x:b/>
      <x:sz val="9"/>
      <x:color rgb="FFFFFFFF"/>
      <x:name val="Carlito"/>
    </x:font>
    <x:font>
      <x:sz val="9"/>
      <x:color rgb="FF17211F"/>
      <x:name val="Carlito"/>
    </x:font>
    <x:font>
      <x:b/>
      <x:sz val="11"/>
      <x:color rgb="FFFFFFFF"/>
      <x:name val="Carlito"/>
    </x:font>
    <x:font>
      <x:b/>
      <x:sz val="11"/>
      <x:color rgb="FF17211F"/>
      <x:name val="Carlito"/>
    </x:font>
    <x:font>
      <x:b/>
      <x:sz val="12"/>
      <x:color rgb="FF17211F"/>
      <x:name val="Carlito"/>
    </x:font>
    <x:font>
      <x:b/>
      <x:sz val="11"/>
      <x:color rgb="FF9A5A12"/>
      <x:name val="Carlito"/>
    </x:font>
    <x:font>
      <x:b/>
      <x:sz val="11"/>
      <x:color rgb="FF8B3A32"/>
      <x:name val="Carlito"/>
    </x:font>
  </x:fonts>
  <x:fills count="9">
    <x:fill>
      <x:patternFill patternType="none"/>
    </x:fill>
    <x:fill>
      <x:patternFill patternType="gray125"/>
    </x:fill>
    <x:fill>
      <x:patternFill patternType="solid">
        <x:fgColor rgb="FFFAF8F2"/>
      </x:patternFill>
    </x:fill>
    <x:fill>
      <x:patternFill patternType="solid">
        <x:fgColor rgb="FF1E655C"/>
      </x:patternFill>
    </x:fill>
    <x:fill>
      <x:patternFill patternType="solid">
        <x:fgColor rgb="FFDDEBE7"/>
      </x:patternFill>
    </x:fill>
    <x:fill>
      <x:patternFill patternType="solid">
        <x:fgColor rgb="FF17211F"/>
      </x:patternFill>
    </x:fill>
    <x:fill>
      <x:patternFill patternType="solid">
        <x:fgColor rgb="FFF4E8D1"/>
      </x:patternFill>
    </x:fill>
    <x:fill>
      <x:patternFill patternType="solid">
        <x:fgColor rgb="FFFFFFFF"/>
      </x:patternFill>
    </x:fill>
    <x:fill>
      <x:patternFill patternType="solid">
        <x:fgColor rgb="FFF1DEDA"/>
      </x:patternFill>
    </x:fill>
  </x:fills>
  <x:borders count="6">
    <x:border/>
    <x:border>
      <x:left style="thin">
        <x:color rgb="FFD5D1C8"/>
      </x:left>
      <x:top style="thin">
        <x:color rgb="FFD5D1C8"/>
      </x:top>
      <x:bottom style="thin">
        <x:color rgb="FFD5D1C8"/>
      </x:bottom>
    </x:border>
    <x:border>
      <x:top style="thin">
        <x:color rgb="FFD5D1C8"/>
      </x:top>
      <x:bottom style="thin">
        <x:color rgb="FFD5D1C8"/>
      </x:bottom>
    </x:border>
    <x:border>
      <x:right style="thin">
        <x:color rgb="FFD5D1C8"/>
      </x:right>
      <x:top style="thin">
        <x:color rgb="FFD5D1C8"/>
      </x:top>
      <x:bottom style="thin">
        <x:color rgb="FFD5D1C8"/>
      </x:bottom>
    </x:border>
    <x:border>
      <x:bottom style="thin">
        <x:color rgb="FFD5D1C8"/>
      </x:bottom>
    </x:border>
    <x:border>
      <x:top style="thin">
        <x:color rgb="FFD5D1C8"/>
      </x:top>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5" fillId="0" borderId="0" xfId="0" applyNumberFormat="1" applyFont="1" applyFill="1" applyBorder="1"/>
    <x:xf numFmtId="0" fontId="5" fillId="0" borderId="4" xfId="0" applyNumberFormat="1" applyFont="1" applyFill="1" applyBorder="1"/>
    <x:xf numFmtId="0" fontId="5" fillId="0" borderId="2" xfId="0" applyNumberFormat="1" applyFont="1" applyFill="1" applyBorder="1"/>
    <x:xf numFmtId="0" fontId="5" fillId="0" borderId="5" xfId="0" applyNumberFormat="1" applyFont="1" applyFill="1" applyBorder="1"/>
    <x:xf numFmtId="0" fontId="5" fillId="0" borderId="4"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200" fontId="5" fillId="0" borderId="4" xfId="0" applyNumberFormat="1" applyFont="1" applyFill="1" applyBorder="1" applyAlignment="1">
      <x:alignment vertical="top" wrapText="1"/>
    </x:xf>
    <x:xf numFmtId="200" fontId="5" fillId="0"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1" fontId="5" fillId="0" borderId="4" xfId="0" applyNumberFormat="1" applyFont="1" applyFill="1" applyBorder="1" applyAlignment="1">
      <x:alignment vertical="top" wrapText="1"/>
    </x:xf>
    <x:xf numFmtId="201" fontId="5" fillId="0" borderId="2" xfId="0" applyNumberFormat="1" applyFont="1" applyFill="1" applyBorder="1" applyAlignment="1">
      <x:alignment vertical="top" wrapText="1"/>
    </x:xf>
    <x:xf numFmtId="201" fontId="5" fillId="0" borderId="5" xfId="0" applyNumberFormat="1" applyFont="1" applyFill="1" applyBorder="1" applyAlignment="1">
      <x:alignment vertical="top" wrapText="1"/>
    </x:xf>
    <x:xf numFmtId="0" fontId="0" fillId="0" borderId="4" xfId="0" applyNumberFormat="1" applyFont="1" applyFill="1" applyBorder="1"/>
    <x:xf numFmtId="0" fontId="0" fillId="0" borderId="2"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5" xfId="0" applyNumberFormat="1" applyFont="1" applyFill="1" applyBorder="1" applyAlignment="1">
      <x:alignment wrapText="1"/>
    </x:xf>
    <x:xf numFmtId="0" fontId="0" fillId="5" borderId="4" xfId="0" applyNumberFormat="1" applyFont="1" applyFill="1" applyBorder="1" applyAlignment="1">
      <x:alignment wrapText="1"/>
    </x:xf>
    <x:xf numFmtId="0" fontId="6" fillId="5" borderId="4" xfId="0" applyNumberFormat="1" applyFont="1" applyFill="1" applyBorder="1" applyAlignment="1">
      <x:alignment wrapText="1"/>
    </x:xf>
    <x:xf numFmtId="0" fontId="0" fillId="4" borderId="2" xfId="0" applyNumberFormat="1" applyFont="1" applyFill="1" applyBorder="1" applyAlignment="1">
      <x:alignment wrapText="1"/>
    </x:xf>
    <x:xf numFmtId="0" fontId="0" fillId="4" borderId="5" xfId="0" applyNumberFormat="1" applyFont="1" applyFill="1" applyBorder="1" applyAlignment="1">
      <x:alignment wrapText="1"/>
    </x:xf>
    <x:xf numFmtId="0" fontId="7" fillId="4" borderId="2" xfId="0" applyNumberFormat="1" applyFont="1" applyFill="1" applyBorder="1" applyAlignment="1">
      <x:alignment wrapText="1"/>
    </x:xf>
    <x:xf numFmtId="0" fontId="7" fillId="4" borderId="5" xfId="0" applyNumberFormat="1" applyFont="1" applyFill="1" applyBorder="1" applyAlignment="1">
      <x:alignment wrapText="1"/>
    </x:xf>
    <x:xf numFmtId="0" fontId="8" fillId="0" borderId="2" xfId="0" applyNumberFormat="1" applyFont="1" applyFill="1" applyBorder="1" applyAlignment="1">
      <x:alignment wrapText="1"/>
    </x:xf>
    <x:xf numFmtId="0" fontId="8" fillId="0" borderId="5" xfId="0" applyNumberFormat="1" applyFont="1" applyFill="1" applyBorder="1" applyAlignment="1">
      <x:alignment wrapText="1"/>
    </x:xf>
    <x:xf numFmtId="200" fontId="8" fillId="0" borderId="2" xfId="0" applyNumberFormat="1" applyFont="1" applyFill="1" applyBorder="1" applyAlignment="1">
      <x:alignment wrapText="1"/>
    </x:xf>
    <x:xf numFmtId="200" fontId="8" fillId="0" borderId="5" xfId="0" applyNumberFormat="1" applyFont="1" applyFill="1" applyBorder="1" applyAlignment="1">
      <x:alignment wrapText="1"/>
    </x:xf>
    <x:xf numFmtId="0" fontId="6" fillId="5" borderId="0"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0" fillId="7" borderId="0" xfId="0" applyNumberFormat="1" applyFont="1" applyFill="1" applyBorder="1"/>
    <x:xf numFmtId="0" fontId="0" fillId="7" borderId="4" xfId="0" applyNumberFormat="1" applyFont="1" applyFill="1" applyBorder="1"/>
    <x:xf numFmtId="0" fontId="0" fillId="7" borderId="2" xfId="0" applyNumberFormat="1" applyFont="1" applyFill="1" applyBorder="1"/>
    <x:xf numFmtId="0" fontId="0" fillId="7" borderId="5" xfId="0" applyNumberFormat="1" applyFont="1" applyFill="1" applyBorder="1"/>
    <x:xf numFmtId="0" fontId="0" fillId="7" borderId="4" xfId="0" applyNumberFormat="1" applyFont="1" applyFill="1" applyBorder="1" applyAlignment="1">
      <x:alignment wrapText="1"/>
    </x:xf>
    <x:xf numFmtId="0" fontId="0" fillId="7" borderId="2"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4"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fccfc008fd4dc3" /><Relationship Type="http://schemas.openxmlformats.org/officeDocument/2006/relationships/theme" Target="/xl/theme/theme1.xml" Id="R3234b6c8080b4d7f" /><Relationship Type="http://schemas.openxmlformats.org/officeDocument/2006/relationships/sharedStrings" Target="/xl/sharedStrings.xml" Id="Rdd4356490e74450f" /><Relationship Type="http://schemas.openxmlformats.org/officeDocument/2006/relationships/worksheet" Target="/xl/worksheets/sheet1.xml" Id="R515753fda2b34c2d" /><Relationship Type="http://schemas.openxmlformats.org/officeDocument/2006/relationships/worksheet" Target="/xl/worksheets/sheet2.xml" Id="Ref48923e7147477e" /><Relationship Type="http://schemas.openxmlformats.org/officeDocument/2006/relationships/worksheet" Target="/xl/worksheets/sheet3.xml" Id="R8663a8e1a030450e" /><Relationship Type="http://schemas.openxmlformats.org/officeDocument/2006/relationships/worksheet" Target="/xl/worksheets/sheet4.xml" Id="Rac546562dc6946eb" /><Relationship Type="http://schemas.openxmlformats.org/officeDocument/2006/relationships/worksheet" Target="/xl/worksheets/sheet5.xml" Id="R57b2e8f03a70446c" /><Relationship Type="http://schemas.openxmlformats.org/officeDocument/2006/relationships/worksheet" Target="/xl/worksheets/sheet6.xml" Id="R747c9603d50041d3" /><Relationship Type="http://schemas.openxmlformats.org/officeDocument/2006/relationships/worksheet" Target="/xl/worksheets/sheet7.xml" Id="Rf18efd36eb4b48ca" /></Relationships>
</file>

<file path=xl/tables/table1.xml><?xml version="1.0" encoding="utf-8"?>
<x:table xmlns:x="http://schemas.openxmlformats.org/spreadsheetml/2006/main" id="1" name="S5AdjudicationTable" displayName="S5AdjudicationTable" ref="A4:AS23" headerRowCount="1" totalsRowCount="0" totalsRowShown="0">
  <x:autoFilter ref="A4:AS23"/>
  <x:tableColumns count="45">
    <x:tableColumn id="1" name="profile_id"/>
    <x:tableColumn id="2" name="stage_id"/>
    <x:tableColumn id="3" name="workflow"/>
    <x:tableColumn id="4" name="sector"/>
    <x:tableColumn id="5" name="pathway_id"/>
    <x:tableColumn id="6" name="seed_review_id"/>
    <x:tableColumn id="7" name="seed_s5"/>
    <x:tableColumn id="8" name="seed_rationale"/>
    <x:tableColumn id="9" name="seed_source_ids"/>
    <x:tableColumn id="10" name="independent_review_id"/>
    <x:tableColumn id="11" name="independent_s5"/>
    <x:tableColumn id="12" name="independent_rationale"/>
    <x:tableColumn id="13" name="independent_source_ids"/>
    <x:tableColumn id="14" name="comparison_status"/>
    <x:tableColumn id="15" name="owner_exception_id"/>
    <x:tableColumn id="16" name="owner_disposition"/>
    <x:tableColumn id="17" name="owner_rationale"/>
    <x:tableColumn id="18" name="owner_decision_state"/>
    <x:tableColumn id="19" name="domain_review_recommendation"/>
    <x:tableColumn id="20" name="domain_review_confidence"/>
    <x:tableColumn id="21" name="domain_review_disposition"/>
    <x:tableColumn id="22" name="selected_s5"/>
    <x:tableColumn id="23" name="recommended_low"/>
    <x:tableColumn id="24" name="recommended_high"/>
    <x:tableColumn id="25" name="adjudication_outcome"/>
    <x:tableColumn id="26" name="adjudication_confidence"/>
    <x:tableColumn id="27" name="next_independent_boundary"/>
    <x:tableColumn id="28" name="boundary_independence_status"/>
    <x:tableColumn id="29" name="boundary_independence_notes"/>
    <x:tableColumn id="30" name="bounded_direct_consequence"/>
    <x:tableColumn id="31" name="excluded_later_consequences"/>
    <x:tableColumn id="32" name="source_ids"/>
    <x:tableColumn id="33" name="source_gap"/>
    <x:tableColumn id="34" name="unresolved_gap_ids"/>
    <x:tableColumn id="35" name="human_expert_package_id"/>
    <x:tableColumn id="36" name="canonical_approval_blocker"/>
    <x:tableColumn id="37" name="draft_use_blocker"/>
    <x:tableColumn id="38" name="draft_use_status"/>
    <x:tableColumn id="39" name="coding_as_of"/>
    <x:tableColumn id="40" name="last_reviewed"/>
    <x:tableColumn id="41" name="revisit_triggers"/>
    <x:tableColumn id="42" name="adjudicated_by"/>
    <x:tableColumn id="43" name="adjudicator_model"/>
    <x:tableColumn id="44" name="reasoning_effort"/>
    <x:tableColumn id="45" name="notes"/>
  </x:tableColumns>
  <x:tableStyleInfo name="TableStyleMedium2" showFirstColumn="0" showLastColumn="0" showRowStripes="1" showColumnStripes="0"/>
</x:table>
</file>

<file path=xl/tables/table2.xml><?xml version="1.0" encoding="utf-8"?>
<x:table xmlns:x="http://schemas.openxmlformats.org/spreadsheetml/2006/main" id="2" name="SoftwareS5View" displayName="SoftwareS5View" ref="A4:W9" headerRowCount="1" totalsRowCount="0" totalsRowShown="0">
  <x:autoFilter ref="A4:W9"/>
  <x:tableColumns count="23">
    <x:tableColumn id="1" name="profile_id"/>
    <x:tableColumn id="2" name="workflow"/>
    <x:tableColumn id="3" name="sector"/>
    <x:tableColumn id="4" name="seed_s5"/>
    <x:tableColumn id="5" name="independent_s5"/>
    <x:tableColumn id="6" name="owner_disposition"/>
    <x:tableColumn id="7" name="domain_review_recommendation"/>
    <x:tableColumn id="8" name="selected_s5"/>
    <x:tableColumn id="9" name="recommended_low"/>
    <x:tableColumn id="10" name="recommended_high"/>
    <x:tableColumn id="11" name="adjudication_outcome"/>
    <x:tableColumn id="12" name="adjudication_confidence"/>
    <x:tableColumn id="13" name="next_independent_boundary"/>
    <x:tableColumn id="14" name="bounded_direct_consequence"/>
    <x:tableColumn id="15" name="excluded_later_consequences"/>
    <x:tableColumn id="16" name="source_ids"/>
    <x:tableColumn id="17" name="source_gap"/>
    <x:tableColumn id="18" name="unresolved_gap_ids"/>
    <x:tableColumn id="19" name="human_expert_package_id"/>
    <x:tableColumn id="20" name="canonical_approval_blocker"/>
    <x:tableColumn id="21" name="draft_use_blocker"/>
    <x:tableColumn id="22" name="draft_use_status"/>
    <x:tableColumn id="23" name="notes"/>
  </x:tableColumns>
  <x:tableStyleInfo name="TableStyleMedium2" showFirstColumn="0" showLastColumn="0" showRowStripes="1" showColumnStripes="0"/>
</x:table>
</file>

<file path=xl/tables/table3.xml><?xml version="1.0" encoding="utf-8"?>
<x:table xmlns:x="http://schemas.openxmlformats.org/spreadsheetml/2006/main" id="3" name="ManufacturingS5View" displayName="ManufacturingS5View" ref="A4:W8" headerRowCount="1" totalsRowCount="0" totalsRowShown="0">
  <x:autoFilter ref="A4:W8"/>
  <x:tableColumns count="23">
    <x:tableColumn id="1" name="profile_id"/>
    <x:tableColumn id="2" name="workflow"/>
    <x:tableColumn id="3" name="sector"/>
    <x:tableColumn id="4" name="seed_s5"/>
    <x:tableColumn id="5" name="independent_s5"/>
    <x:tableColumn id="6" name="owner_disposition"/>
    <x:tableColumn id="7" name="domain_review_recommendation"/>
    <x:tableColumn id="8" name="selected_s5"/>
    <x:tableColumn id="9" name="recommended_low"/>
    <x:tableColumn id="10" name="recommended_high"/>
    <x:tableColumn id="11" name="adjudication_outcome"/>
    <x:tableColumn id="12" name="adjudication_confidence"/>
    <x:tableColumn id="13" name="next_independent_boundary"/>
    <x:tableColumn id="14" name="bounded_direct_consequence"/>
    <x:tableColumn id="15" name="excluded_later_consequences"/>
    <x:tableColumn id="16" name="source_ids"/>
    <x:tableColumn id="17" name="source_gap"/>
    <x:tableColumn id="18" name="unresolved_gap_ids"/>
    <x:tableColumn id="19" name="human_expert_package_id"/>
    <x:tableColumn id="20" name="canonical_approval_blocker"/>
    <x:tableColumn id="21" name="draft_use_blocker"/>
    <x:tableColumn id="22" name="draft_use_status"/>
    <x:tableColumn id="23" name="notes"/>
  </x:tableColumns>
  <x:tableStyleInfo name="TableStyleMedium2" showFirstColumn="0" showLastColumn="0" showRowStripes="1" showColumnStripes="0"/>
</x:table>
</file>

<file path=xl/tables/table4.xml><?xml version="1.0" encoding="utf-8"?>
<x:table xmlns:x="http://schemas.openxmlformats.org/spreadsheetml/2006/main" id="4" name="FusionS5View" displayName="FusionS5View" ref="A4:W14" headerRowCount="1" totalsRowCount="0" totalsRowShown="0">
  <x:autoFilter ref="A4:W14"/>
  <x:tableColumns count="23">
    <x:tableColumn id="1" name="profile_id"/>
    <x:tableColumn id="2" name="workflow"/>
    <x:tableColumn id="3" name="sector"/>
    <x:tableColumn id="4" name="seed_s5"/>
    <x:tableColumn id="5" name="independent_s5"/>
    <x:tableColumn id="6" name="owner_disposition"/>
    <x:tableColumn id="7" name="domain_review_recommendation"/>
    <x:tableColumn id="8" name="selected_s5"/>
    <x:tableColumn id="9" name="recommended_low"/>
    <x:tableColumn id="10" name="recommended_high"/>
    <x:tableColumn id="11" name="adjudication_outcome"/>
    <x:tableColumn id="12" name="adjudication_confidence"/>
    <x:tableColumn id="13" name="next_independent_boundary"/>
    <x:tableColumn id="14" name="bounded_direct_consequence"/>
    <x:tableColumn id="15" name="excluded_later_consequences"/>
    <x:tableColumn id="16" name="source_ids"/>
    <x:tableColumn id="17" name="source_gap"/>
    <x:tableColumn id="18" name="unresolved_gap_ids"/>
    <x:tableColumn id="19" name="human_expert_package_id"/>
    <x:tableColumn id="20" name="canonical_approval_blocker"/>
    <x:tableColumn id="21" name="draft_use_blocker"/>
    <x:tableColumn id="22" name="draft_use_status"/>
    <x:tableColumn id="23" name="notes"/>
  </x:tableColumns>
  <x:tableStyleInfo name="TableStyleMedium2" showFirstColumn="0" showLastColumn="0" showRowStripes="1" showColumnStripes="0"/>
</x:table>
</file>

<file path=xl/tables/table5.xml><?xml version="1.0" encoding="utf-8"?>
<x:table xmlns:x="http://schemas.openxmlformats.org/spreadsheetml/2006/main" id="5" name="UnresolvedS5View" displayName="UnresolvedS5View" ref="A4:W11" headerRowCount="1" totalsRowCount="0" totalsRowShown="0">
  <x:autoFilter ref="A4:W11"/>
  <x:tableColumns count="23">
    <x:tableColumn id="1" name="profile_id"/>
    <x:tableColumn id="2" name="workflow"/>
    <x:tableColumn id="3" name="sector"/>
    <x:tableColumn id="4" name="seed_s5"/>
    <x:tableColumn id="5" name="independent_s5"/>
    <x:tableColumn id="6" name="owner_disposition"/>
    <x:tableColumn id="7" name="domain_review_recommendation"/>
    <x:tableColumn id="8" name="selected_s5"/>
    <x:tableColumn id="9" name="recommended_low"/>
    <x:tableColumn id="10" name="recommended_high"/>
    <x:tableColumn id="11" name="adjudication_outcome"/>
    <x:tableColumn id="12" name="adjudication_confidence"/>
    <x:tableColumn id="13" name="next_independent_boundary"/>
    <x:tableColumn id="14" name="bounded_direct_consequence"/>
    <x:tableColumn id="15" name="excluded_later_consequences"/>
    <x:tableColumn id="16" name="source_ids"/>
    <x:tableColumn id="17" name="source_gap"/>
    <x:tableColumn id="18" name="unresolved_gap_ids"/>
    <x:tableColumn id="19" name="human_expert_package_id"/>
    <x:tableColumn id="20" name="canonical_approval_blocker"/>
    <x:tableColumn id="21" name="draft_use_blocker"/>
    <x:tableColumn id="22" name="draft_use_status"/>
    <x:tableColumn id="23" name="notes"/>
  </x:tableColumns>
  <x:tableStyleInfo name="TableStyleMedium2" showFirstColumn="0" showLastColumn="0" showRowStripes="1" showColumnStripes="0"/>
</x:table>
</file>

<file path=xl/tables/table6.xml><?xml version="1.0" encoding="utf-8"?>
<x:table xmlns:x="http://schemas.openxmlformats.org/spreadsheetml/2006/main" id="6" name="ExpertPackagePlan" displayName="ExpertPackagePlan" ref="A4:R12" headerRowCount="1" totalsRowCount="0" totalsRowShown="0">
  <x:autoFilter ref="A4:R12"/>
  <x:tableColumns count="18">
    <x:tableColumn id="1" name="expert_package_id"/>
    <x:tableColumn id="2" name="sector"/>
    <x:tableColumn id="3" name="theme"/>
    <x:tableColumn id="4" name="profile_ids"/>
    <x:tableColumn id="5" name="dimension_cells"/>
    <x:tableColumn id="6" name="review_questions"/>
    <x:tableColumn id="7" name="why_load_bearing"/>
    <x:tableColumn id="8" name="source_ids"/>
    <x:tableColumn id="9" name="requested_expertise"/>
    <x:tableColumn id="10" name="named_reviewer"/>
    <x:tableColumn id="11" name="status"/>
    <x:tableColumn id="12" name="open_gap_ids"/>
    <x:tableColumn id="13" name="open_gap_status"/>
    <x:tableColumn id="14" name="canonical_approval_blocker"/>
    <x:tableColumn id="15" name="draft_use_blocker"/>
    <x:tableColumn id="16" name="draft_use_status"/>
    <x:tableColumn id="17" name="pursuit_timing"/>
    <x:tableColumn id="1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ae849015b5474b" /></Relationships>
</file>

<file path=xl/worksheets/_rels/sheet3.xml.rels>&#65279;<?xml version="1.0" encoding="utf-8"?><Relationships xmlns="http://schemas.openxmlformats.org/package/2006/relationships"><Relationship Type="http://schemas.openxmlformats.org/officeDocument/2006/relationships/table" Target="/xl/tables/table2.xml" Id="Rf4db7daa62d84513" /></Relationships>
</file>

<file path=xl/worksheets/_rels/sheet4.xml.rels>&#65279;<?xml version="1.0" encoding="utf-8"?><Relationships xmlns="http://schemas.openxmlformats.org/package/2006/relationships"><Relationship Type="http://schemas.openxmlformats.org/officeDocument/2006/relationships/table" Target="/xl/tables/table3.xml" Id="R30b6b74e051344a7" /></Relationships>
</file>

<file path=xl/worksheets/_rels/sheet5.xml.rels>&#65279;<?xml version="1.0" encoding="utf-8"?><Relationships xmlns="http://schemas.openxmlformats.org/package/2006/relationships"><Relationship Type="http://schemas.openxmlformats.org/officeDocument/2006/relationships/table" Target="/xl/tables/table4.xml" Id="R13ddd43fce6b44f0" /></Relationships>
</file>

<file path=xl/worksheets/_rels/sheet6.xml.rels>&#65279;<?xml version="1.0" encoding="utf-8"?><Relationships xmlns="http://schemas.openxmlformats.org/package/2006/relationships"><Relationship Type="http://schemas.openxmlformats.org/officeDocument/2006/relationships/table" Target="/xl/tables/table5.xml" Id="Rf0faf028f9b442c7" /></Relationships>
</file>

<file path=xl/worksheets/_rels/sheet7.xml.rels>&#65279;<?xml version="1.0" encoding="utf-8"?><Relationships xmlns="http://schemas.openxmlformats.org/package/2006/relationships"><Relationship Type="http://schemas.openxmlformats.org/officeDocument/2006/relationships/table" Target="/xl/tables/table6.xml" Id="Rede6f9a701b143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24" hidden="0" customWidth="1"/>
    <x:col min="5" max="5" width="20" hidden="0" customWidth="1"/>
    <x:col min="6" max="6" width="20" hidden="0" customWidth="1"/>
    <x:col min="7" max="7" width="20" hidden="0" customWidth="1"/>
    <x:col min="8" max="8" width="20" hidden="0" customWidth="1"/>
  </x:cols>
  <x:sheetData>
    <x:row r="1" ht="30" customHeight="1">
      <x:c r="A1" s="5" t="str">
        <x:v>Issue #41 · Targeted S5 adjudication checkpoint</x:v>
      </x:c>
      <x:c r="B1" s="3"/>
      <x:c r="C1" s="3"/>
      <x:c r="D1" s="3"/>
      <x:c r="E1" s="3"/>
      <x:c r="F1" s="3"/>
      <x:c r="G1" s="3"/>
      <x:c r="H1" s="3"/>
    </x:row>
    <x:row r="2" ht="38" customHeight="1">
      <x:c r="A2" s="7" t="str">
        <x:v>Reviewed qualitative adjudication, not observation, not a production profile, and not canonical approval. Read this sheet first; use filters in the detail sheets.</x:v>
      </x:c>
      <x:c r="B2" s="3"/>
      <x:c r="C2" s="3"/>
      <x:c r="D2" s="3"/>
      <x:c r="E2" s="3"/>
      <x:c r="F2" s="3"/>
      <x:c r="G2" s="3"/>
      <x:c r="H2" s="3"/>
    </x:row>
    <x:row r="4">
      <x:c r="A4" s="42" t="str">
        <x:v>Control</x:v>
      </x:c>
      <x:c r="B4" s="42" t="str">
        <x:v>Value</x:v>
      </x:c>
      <x:c r="D4" s="51" t="str">
        <x:v>Decision and use boundary</x:v>
      </x:c>
      <x:c r="E4" s="51"/>
      <x:c r="F4" s="51"/>
      <x:c r="G4" s="51"/>
      <x:c r="H4" s="51"/>
    </x:row>
    <x:row r="5" ht="44" customHeight="1">
      <x:c r="A5" s="45" t="str">
        <x:v>Backlog coverage</x:v>
      </x:c>
      <x:c r="B5" s="49" t="n">
        <x:f>COUNTA('Adjudication'!$A$5:$A$23)</x:f>
        <x:v>19</x:v>
      </x:c>
      <x:c r="D5" s="54" t="str">
        <x:v>Rule</x:v>
      </x:c>
      <x:c r="E5" s="62" t="str">
        <x:v>Count direct, reasonably foreseeable consequences of an erroneous stage output only until the next genuinely independent assurance or control boundary.</x:v>
      </x:c>
      <x:c r="F5" s="62"/>
      <x:c r="G5" s="62"/>
      <x:c r="H5" s="62"/>
    </x:row>
    <x:row r="6" ht="44" customHeight="1">
      <x:c r="A6" s="45" t="str">
        <x:v>Point selections</x:v>
      </x:c>
      <x:c r="B6" s="49" t="n">
        <x:f>COUNTIF('Adjudication'!$V$5:$V$23,"&lt;&gt;")</x:f>
        <x:v>12</x:v>
      </x:c>
      <x:c r="D6" s="54" t="str">
        <x:v>Independence</x:v>
      </x:c>
      <x:c r="E6" s="63" t="str">
        <x:v>Check detection, authority, timing, and correlated failure. A different organizational label alone is not independence.</x:v>
      </x:c>
      <x:c r="F6" s="63"/>
      <x:c r="G6" s="63"/>
      <x:c r="H6" s="63"/>
    </x:row>
    <x:row r="7" ht="44" customHeight="1">
      <x:c r="A7" s="45" t="str">
        <x:v>Range/disagreement forms</x:v>
      </x:c>
      <x:c r="B7" s="49" t="n">
        <x:f>B5-B6</x:f>
        <x:v>7</x:v>
      </x:c>
      <x:c r="D7" s="54" t="str">
        <x:v>No midpoint</x:v>
      </x:c>
      <x:c r="E7" s="63" t="str">
        <x:v>No value is averaged or chosen as midpoint consensus. Preserve range or disagreement where the record does not justify a point.</x:v>
      </x:c>
      <x:c r="F7" s="63"/>
      <x:c r="G7" s="63"/>
      <x:c r="H7" s="63"/>
    </x:row>
    <x:row r="8" ht="44" customHeight="1">
      <x:c r="A8" s="45" t="str">
        <x:v>Software rows</x:v>
      </x:c>
      <x:c r="B8" s="49" t="n">
        <x:f>COUNTIF('Adjudication'!$D$5:$D$23,"Software engineering")</x:f>
        <x:v>5</x:v>
      </x:c>
      <x:c r="D8" s="54" t="str">
        <x:v>Canonical blocker</x:v>
      </x:c>
      <x:c r="E8" s="63" t="str">
        <x:v>Named-expert questions, source/boundary gaps, owner canonical approval, and production-profile population remain unresolved as recorded.</x:v>
      </x:c>
      <x:c r="F8" s="63"/>
      <x:c r="G8" s="63"/>
      <x:c r="H8" s="63"/>
    </x:row>
    <x:row r="9" ht="44" customHeight="1">
      <x:c r="A9" s="45" t="str">
        <x:v>Manufacturing rows</x:v>
      </x:c>
      <x:c r="B9" s="49" t="n">
        <x:f>COUNTIF('Adjudication'!$D$5:$D$23,"Discrete manufacturing")</x:f>
        <x:v>4</x:v>
      </x:c>
      <x:c r="D9" s="54" t="str">
        <x:v>Draft use</x:v>
      </x:c>
      <x:c r="E9" s="63" t="str">
        <x:v>Those blockers do not prevent private use, staged WP2 construction, or public-pilot display visibly labelled EXPERT-CODED · DRAFT with range, confidence, gaps, and status visible.</x:v>
      </x:c>
      <x:c r="F9" s="63"/>
      <x:c r="G9" s="63"/>
      <x:c r="H9" s="63"/>
    </x:row>
    <x:row r="10" ht="44" customHeight="1">
      <x:c r="A10" s="45" t="str">
        <x:v>Fusion rows</x:v>
      </x:c>
      <x:c r="B10" s="49" t="n">
        <x:f>COUNTIF('Adjudication'!$D$5:$D$23,"Fusion, magnetic confinement")</x:f>
        <x:v>10</x:v>
      </x:c>
      <x:c r="D10" s="54" t="str">
        <x:v>Fusion gaps</x:v>
      </x:c>
      <x:c r="E10" s="63" t="str">
        <x:v>gap-01 through gap-09 remain open. Adjudication does not convert programme targets, legal status, or proof of concept into missing empirical outcomes.</x:v>
      </x:c>
      <x:c r="F10" s="63"/>
      <x:c r="G10" s="63"/>
      <x:c r="H10" s="63"/>
    </x:row>
    <x:row r="11" ht="44" customHeight="1">
      <x:c r="A11" s="45" t="str">
        <x:v>Expert packages</x:v>
      </x:c>
      <x:c r="B11" s="49" t="n">
        <x:f>COUNTA('Expert Packages'!$A$5:$A$12)</x:f>
        <x:v>8</x:v>
      </x:c>
      <x:c r="D11" s="54" t="str">
        <x:v>Protected scope</x:v>
      </x:c>
      <x:c r="E11" s="63" t="str">
        <x:v>No production data/profiles row, C1-C8, governance, UI, figure, forecast, scenario, coupling, or WP2 implementation is created or changed.</x:v>
      </x:c>
      <x:c r="F11" s="63"/>
      <x:c r="G11" s="63"/>
      <x:c r="H11" s="63"/>
    </x:row>
    <x:row r="12" ht="44" customHeight="1">
      <x:c r="A12" s="45" t="str">
        <x:v>Fusion empirical gaps</x:v>
      </x:c>
      <x:c r="B12" s="49" t="n">
        <x:v>9</x:v>
      </x:c>
      <x:c r="D12" s="54" t="str">
        <x:v>Next gate</x:v>
      </x:c>
      <x:c r="E12" s="64" t="str">
        <x:v>One substantive PM review, one bounded correction, P0/P1 recheck, merge; then begin WP2 proposed/staged profile construction in one batch.</x:v>
      </x:c>
      <x:c r="F12" s="64"/>
      <x:c r="G12" s="64"/>
      <x:c r="H12" s="64"/>
    </x:row>
    <x:row r="13">
      <x:c r="A13" s="46" t="str">
        <x:v>Canonical profile approvals</x:v>
      </x:c>
      <x:c r="B13" s="50" t="n">
        <x:v>0</x:v>
      </x:c>
    </x:row>
    <x:row r="15" ht="34" customHeight="1">
      <x:c r="A15" s="67" t="str">
        <x:v>Navigation: Adjudication = complete preserved record · sector sheets = review views · Unresolved = rows without a point · Expert Packages = eight canonical-approval review packages.</x:v>
      </x:c>
      <x:c r="B15" s="67"/>
      <x:c r="C15" s="67"/>
      <x:c r="D15" s="67"/>
      <x:c r="E15" s="67"/>
      <x:c r="F15" s="67"/>
      <x:c r="G15" s="67"/>
      <x:c r="H15" s="67"/>
    </x:row>
  </x:sheetData>
  <x:mergeCells>
    <x:mergeCell ref="A1:H1"/>
    <x:mergeCell ref="A2:H2"/>
    <x:mergeCell ref="D4:H4"/>
    <x:mergeCell ref="E5:H5"/>
    <x:mergeCell ref="E6:H6"/>
    <x:mergeCell ref="E7:H7"/>
    <x:mergeCell ref="E8:H8"/>
    <x:mergeCell ref="E9:H9"/>
    <x:mergeCell ref="E10:H10"/>
    <x:mergeCell ref="E11:H11"/>
    <x:mergeCell ref="E12:H1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6" hidden="0" customWidth="1"/>
    <x:col min="4" max="4" width="16" hidden="0" customWidth="1"/>
    <x:col min="5" max="5" width="28" hidden="0" customWidth="1"/>
    <x:col min="6" max="6" width="16" hidden="0" customWidth="1"/>
    <x:col min="7" max="7" width="12" hidden="0" customWidth="1"/>
    <x:col min="8" max="8" width="48" hidden="0" customWidth="1"/>
    <x:col min="9" max="9" width="16" hidden="0" customWidth="1"/>
    <x:col min="10" max="10" width="16" hidden="0" customWidth="1"/>
    <x:col min="11" max="11" width="12" hidden="0" customWidth="1"/>
    <x:col min="12" max="12" width="48" hidden="0" customWidth="1"/>
    <x:col min="13" max="13" width="16" hidden="0" customWidth="1"/>
    <x:col min="14" max="14" width="16" hidden="0" customWidth="1"/>
    <x:col min="15" max="15" width="16" hidden="0" customWidth="1"/>
    <x:col min="16" max="16" width="16" hidden="0" customWidth="1"/>
    <x:col min="17" max="17" width="48" hidden="0" customWidth="1"/>
    <x:col min="18" max="18" width="16" hidden="0" customWidth="1"/>
    <x:col min="19" max="19" width="16" hidden="0" customWidth="1"/>
    <x:col min="20" max="20" width="16" hidden="0" customWidth="1"/>
    <x:col min="21" max="21" width="16" hidden="0" customWidth="1"/>
    <x:col min="22" max="22" width="12" hidden="0" customWidth="1"/>
    <x:col min="23" max="23" width="12" hidden="0" customWidth="1"/>
    <x:col min="24" max="24" width="12" hidden="0" customWidth="1"/>
    <x:col min="25" max="25" width="28" hidden="0" customWidth="1"/>
    <x:col min="26" max="26" width="16" hidden="0" customWidth="1"/>
    <x:col min="27" max="27" width="36" hidden="0" customWidth="1"/>
    <x:col min="28" max="28" width="16" hidden="0" customWidth="1"/>
    <x:col min="29" max="29" width="48" hidden="0" customWidth="1"/>
    <x:col min="30" max="30" width="48" hidden="0" customWidth="1"/>
    <x:col min="31" max="31" width="48" hidden="0" customWidth="1"/>
    <x:col min="32" max="32" width="16" hidden="0" customWidth="1"/>
    <x:col min="33" max="33" width="48" hidden="0" customWidth="1"/>
    <x:col min="34" max="34" width="16" hidden="0" customWidth="1"/>
    <x:col min="35" max="35" width="16" hidden="0" customWidth="1"/>
    <x:col min="36" max="36" width="28" hidden="0" customWidth="1"/>
    <x:col min="37" max="37" width="16" hidden="0" customWidth="1"/>
    <x:col min="38" max="38" width="28" hidden="0" customWidth="1"/>
    <x:col min="39" max="39" width="16" hidden="0" customWidth="1"/>
    <x:col min="40" max="40" width="16" hidden="0" customWidth="1"/>
    <x:col min="41" max="41" width="48" hidden="0" customWidth="1"/>
    <x:col min="42" max="42" width="16" hidden="0" customWidth="1"/>
    <x:col min="43" max="43" width="16" hidden="0" customWidth="1"/>
    <x:col min="44" max="44" width="16" hidden="0" customWidth="1"/>
    <x:col min="45" max="45" width="48" hidden="0" customWidth="1"/>
  </x:cols>
  <x:sheetData>
    <x:row r="1" ht="30" customHeight="1">
      <x:c r="A1" s="5" t="str">
        <x:v>Targeted S5 adjudication — complete preserved record</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row>
    <x:row r="2" ht="38" customHeight="1">
      <x:c r="A2" s="7" t="str">
        <x:v>Exactly 19 frozen backlog rows. Original model values, full rationales, owner decisions, bounded consequences, and non-approval status are retained; no averages or sector scores.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row>
    <x:row r="4" ht="34" customHeight="1">
      <x:c r="A4" s="16" t="str">
        <x:v>profile_id</x:v>
      </x:c>
      <x:c r="B4" s="17" t="str">
        <x:v>stage_id</x:v>
      </x:c>
      <x:c r="C4" s="17" t="str">
        <x:v>workflow</x:v>
      </x:c>
      <x:c r="D4" s="17" t="str">
        <x:v>sector</x:v>
      </x:c>
      <x:c r="E4" s="17" t="str">
        <x:v>pathway_id</x:v>
      </x:c>
      <x:c r="F4" s="17" t="str">
        <x:v>seed_review_id</x:v>
      </x:c>
      <x:c r="G4" s="17" t="str">
        <x:v>seed_s5</x:v>
      </x:c>
      <x:c r="H4" s="17" t="str">
        <x:v>seed_rationale</x:v>
      </x:c>
      <x:c r="I4" s="17" t="str">
        <x:v>seed_source_ids</x:v>
      </x:c>
      <x:c r="J4" s="17" t="str">
        <x:v>independent_review_id</x:v>
      </x:c>
      <x:c r="K4" s="17" t="str">
        <x:v>independent_s5</x:v>
      </x:c>
      <x:c r="L4" s="17" t="str">
        <x:v>independent_rationale</x:v>
      </x:c>
      <x:c r="M4" s="17" t="str">
        <x:v>independent_source_ids</x:v>
      </x:c>
      <x:c r="N4" s="17" t="str">
        <x:v>comparison_status</x:v>
      </x:c>
      <x:c r="O4" s="17" t="str">
        <x:v>owner_exception_id</x:v>
      </x:c>
      <x:c r="P4" s="17" t="str">
        <x:v>owner_disposition</x:v>
      </x:c>
      <x:c r="Q4" s="17" t="str">
        <x:v>owner_rationale</x:v>
      </x:c>
      <x:c r="R4" s="17" t="str">
        <x:v>owner_decision_state</x:v>
      </x:c>
      <x:c r="S4" s="17" t="str">
        <x:v>domain_review_recommendation</x:v>
      </x:c>
      <x:c r="T4" s="17" t="str">
        <x:v>domain_review_confidence</x:v>
      </x:c>
      <x:c r="U4" s="17" t="str">
        <x:v>domain_review_disposition</x:v>
      </x:c>
      <x:c r="V4" s="17" t="str">
        <x:v>selected_s5</x:v>
      </x:c>
      <x:c r="W4" s="17" t="str">
        <x:v>recommended_low</x:v>
      </x:c>
      <x:c r="X4" s="17" t="str">
        <x:v>recommended_high</x:v>
      </x:c>
      <x:c r="Y4" s="17" t="str">
        <x:v>adjudication_outcome</x:v>
      </x:c>
      <x:c r="Z4" s="17" t="str">
        <x:v>adjudication_confidence</x:v>
      </x:c>
      <x:c r="AA4" s="17" t="str">
        <x:v>next_independent_boundary</x:v>
      </x:c>
      <x:c r="AB4" s="17" t="str">
        <x:v>boundary_independence_status</x:v>
      </x:c>
      <x:c r="AC4" s="17" t="str">
        <x:v>boundary_independence_notes</x:v>
      </x:c>
      <x:c r="AD4" s="17" t="str">
        <x:v>bounded_direct_consequence</x:v>
      </x:c>
      <x:c r="AE4" s="17" t="str">
        <x:v>excluded_later_consequences</x:v>
      </x:c>
      <x:c r="AF4" s="17" t="str">
        <x:v>source_ids</x:v>
      </x:c>
      <x:c r="AG4" s="17" t="str">
        <x:v>source_gap</x:v>
      </x:c>
      <x:c r="AH4" s="17" t="str">
        <x:v>unresolved_gap_ids</x:v>
      </x:c>
      <x:c r="AI4" s="17" t="str">
        <x:v>human_expert_package_id</x:v>
      </x:c>
      <x:c r="AJ4" s="17" t="str">
        <x:v>canonical_approval_blocker</x:v>
      </x:c>
      <x:c r="AK4" s="17" t="str">
        <x:v>draft_use_blocker</x:v>
      </x:c>
      <x:c r="AL4" s="17" t="str">
        <x:v>draft_use_status</x:v>
      </x:c>
      <x:c r="AM4" s="17" t="str">
        <x:v>coding_as_of</x:v>
      </x:c>
      <x:c r="AN4" s="17" t="str">
        <x:v>last_reviewed</x:v>
      </x:c>
      <x:c r="AO4" s="17" t="str">
        <x:v>revisit_triggers</x:v>
      </x:c>
      <x:c r="AP4" s="17" t="str">
        <x:v>adjudicated_by</x:v>
      </x:c>
      <x:c r="AQ4" s="17" t="str">
        <x:v>adjudicator_model</x:v>
      </x:c>
      <x:c r="AR4" s="17" t="str">
        <x:v>reasoning_effort</x:v>
      </x:c>
      <x:c r="AS4" s="18" t="str">
        <x:v>notes</x:v>
      </x:c>
    </x:row>
    <x:row r="5" ht="320" customHeight="1">
      <x:c r="A5" s="26" t="str">
        <x:v>sp-0001</x:v>
      </x:c>
      <x:c r="B5" s="26" t="str">
        <x:v>requirements_and_architecture</x:v>
      </x:c>
      <x:c r="C5" s="26" t="str">
        <x:v>Requirements and architecture</x:v>
      </x:c>
      <x:c r="D5" s="26" t="str">
        <x:v>Software engineering</x:v>
      </x:c>
      <x:c r="E5" s="26" t="str">
        <x:v>mature_software_delivery_and_maintenance</x:v>
      </x:c>
      <x:c r="F5" s="26" t="str">
        <x:v>seed-sp-0001-v1</x:v>
      </x:c>
      <x:c r="G5" s="29" t="n">
        <x:v>3</x:v>
      </x:c>
      <x:c r="H5" s="26" t="str">
        <x:v>S1: requirements definition, interface specification, architecture and system trade-offs are carried out wholly in analysis, documents and models, with no physical transformation inside the scoped stage; S2: intermediate judgment - desk-level draft, critique and revise cycles close within days, but the signal that confirms an architecture decision arrives from downstream implementation and operation, which this scope excludes, so the ordinary confirming loop sits between the minutes-to-days and weeks-to-months anchors; S3 cost: an additional design option, trade study or written alternative costs only analyst or model time and is effectively free at the margin; S3 throughput: intermediate judgment - option generation parallelises without limit, but each option must clear scarce senior-reviewer and stakeholder attention, which is serial and rate-limits how many options are genuinely evaluated; S4: no construction, growth, curing, healing or qualification floor applies, and remaining elapsed time reflects review cadence, which is organisational rather than physical latency; S5: intermediate judgment - an error caught while the work is still on paper costs almost nothing to correct, but architecture errors that escape this stage are the archetypal expensive rework in an established codebase, so the stage falls short of the cheap, reversible, low-externality anchor; scope caveat: frozen V1 scope is mature production software in an established codebase and excludes greenfield prototyping, frontier algorithm research and safety-critical software; critical_path_role remains not_assessed.</x:v>
      </x:c>
      <x:c r="I5" s="26"/>
      <x:c r="J5" s="26" t="str">
        <x:v>independent-sp-0001-v1</x:v>
      </x:c>
      <x:c r="K5" s="29" t="n">
        <x:v>2</x:v>
      </x:c>
      <x:c r="L5" s="26" t="str">
        <x:v>S1: 4 — progress is requirements analysis, interface specification, architecture, and trade-off reasoning; S2: 3 — Intermediate judgment: feedback is usually days to weeks, slower than minute-to-day coding loops but faster than the weeks-to-months anchor; S3 cost: 3 — Intermediate judgment: drafts and models are cheap, but expert review and system context are meaningful costs; S3 throughput: alternatives can be explored in parallel, while architecture review and dependency resolution constrain throughput; S4: 4 — no intrinsic construction, growth, curing, or qualification floor is inside this stage; S5: 2 — errors can propagate into material rework, but remain reviewable and reversible before implementation; scope caveat: applies only to mature feature work in an established, non-safety-critical codebase.</x:v>
      </x:c>
      <x:c r="M5" s="26"/>
      <x:c r="N5" s="26" t="str">
        <x:v>one_point_difference</x:v>
      </x:c>
      <x:c r="O5" s="26"/>
      <x:c r="P5" s="26"/>
      <x:c r="Q5" s="26"/>
      <x:c r="R5" s="26"/>
      <x:c r="S5" s="26"/>
      <x:c r="T5" s="26"/>
      <x:c r="U5" s="26"/>
      <x:c r="V5" s="29" t="n">
        <x:v>3</x:v>
      </x:c>
      <x:c r="W5" s="29"/>
      <x:c r="X5" s="29"/>
      <x:c r="Y5" s="26" t="str">
        <x:v>selected_provisional_pending_named_expert</x:v>
      </x:c>
      <x:c r="Z5" s="26" t="str">
        <x:v>medium</x:v>
      </x:c>
      <x:c r="AA5" s="26" t="str">
        <x:v>Independent architecture or design-authority review before implementation commitments are authorized.</x:v>
      </x:c>
      <x:c r="AB5" s="26" t="str">
        <x:v>assumed_not_verified</x:v>
      </x:c>
      <x:c r="AC5" s="26" t="str">
        <x:v>Detection must test requirements, interfaces, and trade-offs; the reviewer must be able to reject the design before implementation. A different team label is insufficient where reviewers share the same assumptions or evidence.</x:v>
      </x:c>
      <x:c r="AD5" s="26" t="str">
        <x:v>Misdirected design analysis, dependency planning, and reversible engineering rework undertaken before the architecture review acts.</x:v>
      </x:c>
      <x:c r="AE5" s="26" t="str">
        <x:v>Implementation, deployment, or user harm that requires the independent architecture review and later verification or release controls to fail.</x:v>
      </x:c>
      <x:c r="AF5" s="26"/>
      <x:c r="AG5" s="26" t="str">
        <x:v>No exact-stage canonical source on mature-software architecture review, boundary independence, or pre-review rework severity.</x:v>
      </x:c>
      <x:c r="AH5" s="26"/>
      <x:c r="AI5" s="26" t="str">
        <x:v>EXP-SW-01</x:v>
      </x:c>
      <x:c r="AJ5" s="26" t="str">
        <x:v>pending_named_expert;source_or_boundary_evidence_gap;profile_population_and_owner_canonical_approval_not_performed</x:v>
      </x:c>
      <x:c r="AK5" s="26" t="str">
        <x:v>none</x:v>
      </x:c>
      <x:c r="AL5" s="26" t="str">
        <x:v>allowed_for_private_use_staged_wp2_and_public_pilot_only_as_EXPERT-CODED_DRAFT_with_range_confidence_gaps_visible</x:v>
      </x:c>
      <x:c r="AM5" s="32" t="n">
        <x:v>46268</x:v>
      </x:c>
      <x:c r="AN5" s="32" t="n">
        <x:v>46268</x:v>
      </x:c>
      <x:c r="AO5" s="26" t="str">
        <x:v>Obtain a mature production-software architecture/change record identifying reviewer independence, rejection authority, review timing, and rework before approval.</x:v>
      </x:c>
      <x:c r="AP5" s="26" t="str">
        <x:v>Codex Desktop</x:v>
      </x:c>
      <x:c r="AQ5" s="26" t="str">
        <x:v>gpt-5.6-sol</x:v>
      </x:c>
      <x:c r="AR5" s="26" t="str">
        <x:v>xhigh</x:v>
      </x:c>
      <x:c r="AS5" s="26" t="str">
        <x:v>Select the seed value 3: bounded consequences are meaningful but remain reversible engineering rework before an assumed design-authority boundary.</x:v>
      </x:c>
    </x:row>
    <x:row r="6" ht="320" customHeight="1">
      <x:c r="A6" s="27" t="str">
        <x:v>sp-0002</x:v>
      </x:c>
      <x:c r="B6" s="27" t="str">
        <x:v>implementation</x:v>
      </x:c>
      <x:c r="C6" s="27" t="str">
        <x:v>Implementation</x:v>
      </x:c>
      <x:c r="D6" s="27" t="str">
        <x:v>Software engineering</x:v>
      </x:c>
      <x:c r="E6" s="27" t="str">
        <x:v>mature_software_delivery_and_maintenance</x:v>
      </x:c>
      <x:c r="F6" s="27" t="str">
        <x:v>seed-sp-0002-v1</x:v>
      </x:c>
      <x:c r="G6" s="30" t="n">
        <x:v>4</x:v>
      </x:c>
      <x:c r="H6" s="27" t="str">
        <x:v>S1: coding, configuration, refactoring and integration in an established codebase are entirely information and software work; nothing in the scoped stage advances through physical transformation, biology, construction or accumulated operating time; S2: the ordinary loop is edit, build, run and revise, which closes in minutes to hours on mature tooling; S3 cost: an additional attempt costs a build and a test execution, that is compute and inference time, which is near-free at the margin; S3 throughput: attempts parallelise across branches, workspaces, agents and test matrices, bounded only by elastic CI capacity rather than by any scarce physical system; S4: no construction, growth, curing, healing or qualification floor governs elapsed time; S5: changes in this scope are pre-release and held under version control, so a bad change is reverted cheaply with no external consequence; the consequences of defects that reach users are coded at sp-0004 and sp-0005 rather than double-counted here; scope caveat: frozen V1 scope is mature production software in an established codebase and excludes greenfield prototyping, frontier algorithm research and safety-critical software; critical_path_role remains not_assessed.</x:v>
      </x:c>
      <x:c r="I6" s="27"/>
      <x:c r="J6" s="27" t="str">
        <x:v>independent-sp-0002-v1</x:v>
      </x:c>
      <x:c r="K6" s="30" t="n">
        <x:v>3</x:v>
      </x:c>
      <x:c r="L6" s="27" t="str">
        <x:v>S1: 4 — coding, configuration, refactoring, and integration are primarily information and software work; S2: 4 — edit-run-test loops ordinarily occur in minutes to days; S3 cost: 4 — code changes and local test attempts have very low marginal cost; S3 throughput: branches, tests, and implementation alternatives can run in substantial parallelism; S4: 4 — no physical maturation or qualification floor dominates implementation; S5: 3 — Intermediate judgment: most errors are reversible through version control and tests, but integration defects can still impose meaningful rework; scope caveat: applies to approved changes in an established codebase, not frontier research or safety-critical software.</x:v>
      </x:c>
      <x:c r="M6" s="27"/>
      <x:c r="N6" s="27" t="str">
        <x:v>one_point_difference</x:v>
      </x:c>
      <x:c r="O6" s="27"/>
      <x:c r="P6" s="27"/>
      <x:c r="Q6" s="27"/>
      <x:c r="R6" s="27"/>
      <x:c r="S6" s="27"/>
      <x:c r="T6" s="27"/>
      <x:c r="U6" s="27"/>
      <x:c r="V6" s="30" t="n">
        <x:v>3</x:v>
      </x:c>
      <x:c r="W6" s="30"/>
      <x:c r="X6" s="30"/>
      <x:c r="Y6" s="27" t="str">
        <x:v>selected_provisional_pending_named_expert</x:v>
      </x:c>
      <x:c r="Z6" s="27" t="str">
        <x:v>medium</x:v>
      </x:c>
      <x:c r="AA6" s="27" t="str">
        <x:v>Independent verification, code review, and change-control gate before release or deployment.</x:v>
      </x:c>
      <x:c r="AB6" s="27" t="str">
        <x:v>assumed_not_verified</x:v>
      </x:c>
      <x:c r="AC6" s="27" t="str">
        <x:v>The boundary must exercise detection independent of the implementation path and have authority to block promotion. Tests generated from the same mistaken assumptions may be correlated and do not establish independence by themselves.</x:v>
      </x:c>
      <x:c r="AD6" s="27" t="str">
        <x:v>Failed builds, integration breakage, and reversible code or configuration rework before verification and change control block release.</x:v>
      </x:c>
      <x:c r="AE6" s="27" t="str">
        <x:v>Production outage, data loss, or customer harm that requires independent verification and release controls to miss or authorize the defect.</x:v>
      </x:c>
      <x:c r="AF6" s="27"/>
      <x:c r="AG6" s="27" t="str">
        <x:v>No exact-stage canonical source on mature-software implementation rework or the independence and effectiveness of verification/change-control gates.</x:v>
      </x:c>
      <x:c r="AH6" s="27"/>
      <x:c r="AI6" s="27" t="str">
        <x:v>EXP-SW-01</x:v>
      </x:c>
      <x:c r="AJ6" s="27" t="str">
        <x:v>pending_named_expert;source_or_boundary_evidence_gap;profile_population_and_owner_canonical_approval_not_performed</x:v>
      </x:c>
      <x:c r="AK6" s="27" t="str">
        <x:v>none</x:v>
      </x:c>
      <x:c r="AL6" s="27" t="str">
        <x:v>allowed_for_private_use_staged_wp2_and_public_pilot_only_as_EXPERT-CODED_DRAFT_with_range_confidence_gaps_visible</x:v>
      </x:c>
      <x:c r="AM6" s="33" t="n">
        <x:v>46268</x:v>
      </x:c>
      <x:c r="AN6" s="33" t="n">
        <x:v>46268</x:v>
      </x:c>
      <x:c r="AO6" s="27" t="str">
        <x:v>Obtain a mature codebase change history linking implementation errors to independently detected pre-release rework and escaped-defect paths.</x:v>
      </x:c>
      <x:c r="AP6" s="27" t="str">
        <x:v>Codex Desktop</x:v>
      </x:c>
      <x:c r="AQ6" s="27" t="str">
        <x:v>gpt-5.6-sol</x:v>
      </x:c>
      <x:c r="AR6" s="27" t="str">
        <x:v>xhigh</x:v>
      </x:c>
      <x:c r="AS6" s="27" t="str">
        <x:v>Select the independent value 3: version control preserves reversibility, while escaped implementation errors can still impose meaningful integration rework before the next independent gate.</x:v>
      </x:c>
    </x:row>
    <x:row r="7" ht="320" customHeight="1">
      <x:c r="A7" s="27" t="str">
        <x:v>sp-0003</x:v>
      </x:c>
      <x:c r="B7" s="27" t="str">
        <x:v>verification_and_validation</x:v>
      </x:c>
      <x:c r="C7" s="27" t="str">
        <x:v>Verification and validation</x:v>
      </x:c>
      <x:c r="D7" s="27" t="str">
        <x:v>Software engineering</x:v>
      </x:c>
      <x:c r="E7" s="27" t="str">
        <x:v>mature_software_delivery_and_maintenance</x:v>
      </x:c>
      <x:c r="F7" s="27" t="str">
        <x:v>seed-sp-0003-v1</x:v>
      </x:c>
      <x:c r="G7" s="30" t="n">
        <x:v>4</x:v>
      </x:c>
      <x:c r="H7" s="27" t="str">
        <x:v>S1: reviews, testing, defect reproduction and validation of a change are executed as information work and as software running against software; no physical transformation occurs in the scoped stage; S2: automated suites return in minutes to hours and defect reproduction usually closes within a day, placing the ordinary loop firmly in the minutes-to-days band; S3 cost: an additional test execution or reproduction attempt costs compute time and is near-free at the margin; S3 throughput: intermediate judgment recorded because cost and throughput diverge - automated attempts shard and parallelise almost without limit, but the scoped stage also contains human code review and shared staging or full-system environments, which are scarce serial resources, so attainable throughput is materially below the near-free-and-parallel anchor even though marginal cost is not; S4: no construction, growth, curing, healing or qualification floor governs elapsed time; S5: errors made inside this stage, such as a wrong assertion or a misdiagnosed reproduction, are corrected cheaply and reversibly with no external consequence; escaped-defect consequences belong to the deployment and operations stages and are coded there; scope caveat: frozen V1 scope excludes safety-critical software, where verification would not be low-consequence; critical_path_role remains not_assessed.</x:v>
      </x:c>
      <x:c r="I7" s="27"/>
      <x:c r="J7" s="27" t="str">
        <x:v>independent-sp-0003-v1</x:v>
      </x:c>
      <x:c r="K7" s="30" t="n">
        <x:v>2</x:v>
      </x:c>
      <x:c r="L7" s="27" t="str">
        <x:v>S1: 4 — reviews, testing, defect reproduction, and validation are predominantly digital information work; S2: 4 — ordinary test-revise cycles run in minutes to days; S3 cost: 4 — most software test executions have low marginal cost; S3 throughput: test suites and defect reproductions can be highly parallelized, despite some shared-environment constraints; S4: 4 — no intrinsic physical time floor dominates pre-release verification; S5: 2 — test mistakes or false negatives can permit defects and cause material review burdens, but reruns and corrections are normally possible; scope caveat: excludes safety-critical assurance and post-release operations.</x:v>
      </x:c>
      <x:c r="M7" s="27"/>
      <x:c r="N7" s="27" t="str">
        <x:v>difference_ge_2</x:v>
      </x:c>
      <x:c r="O7" s="27" t="str">
        <x:v>exc-sp-0003-s5</x:v>
      </x:c>
      <x:c r="P7" s="27" t="str">
        <x:v>prefer_independent</x:v>
      </x:c>
      <x:c r="Q7" s="27" t="str">
        <x:v>Select S5=2. Under the bounded escaped-consequence rule, a false negative or incorrect validation can directly permit a defect to pass into release and create material rework or service impact. S5=4 understates that first-order consequence; the non-safety-critical scope keeps the value above the bottom anchors.</x:v>
      </x:c>
      <x:c r="R7" s="27" t="str">
        <x:v>owner_preference_recorded</x:v>
      </x:c>
      <x:c r="S7" s="27"/>
      <x:c r="T7" s="27"/>
      <x:c r="U7" s="27"/>
      <x:c r="V7" s="30" t="n">
        <x:v>2</x:v>
      </x:c>
      <x:c r="W7" s="30"/>
      <x:c r="X7" s="30"/>
      <x:c r="Y7" s="27" t="str">
        <x:v>selected_provisional_pending_named_expert</x:v>
      </x:c>
      <x:c r="Z7" s="27" t="str">
        <x:v>medium</x:v>
      </x:c>
      <x:c r="AA7" s="27" t="str">
        <x:v>Independent release authorization and production canary-health or rollback control able to stop wider rollout.</x:v>
      </x:c>
      <x:c r="AB7" s="27" t="str">
        <x:v>assumed_not_verified</x:v>
      </x:c>
      <x:c r="AC7" s="27" t="str">
        <x:v>A checklist alone is not independent assurance. Detection must use evidence not produced solely by the same verification logic, authority must include stopping release, and timing must precede broad exposure; shared tests and monitors create correlated-failure risk.</x:v>
      </x:c>
      <x:c r="AD7" s="27" t="str">
        <x:v>A false negative or incorrect validation can release a defect, create material rework, and cause bounded canary or early-user service impact before independent release monitoring stops expansion.</x:v>
      </x:c>
      <x:c r="AE7" s="27" t="str">
        <x:v>Broad or prolonged service harm that requires release authorization, canary detection, rollback, and later operations controls to fail separately.</x:v>
      </x:c>
      <x:c r="AF7" s="27"/>
      <x:c r="AG7" s="27" t="str">
        <x:v>No exact-stage canonical source on mature-software false-negative consequences or the independence of release and canary controls.</x:v>
      </x:c>
      <x:c r="AH7" s="27"/>
      <x:c r="AI7" s="27" t="str">
        <x:v>EXP-SW-01</x:v>
      </x:c>
      <x:c r="AJ7" s="27" t="str">
        <x:v>pending_named_expert;source_or_boundary_evidence_gap;profile_population_and_owner_canonical_approval_not_performed</x:v>
      </x:c>
      <x:c r="AK7" s="27" t="str">
        <x:v>none</x:v>
      </x:c>
      <x:c r="AL7" s="27" t="str">
        <x:v>allowed_for_private_use_staged_wp2_and_public_pilot_only_as_EXPERT-CODED_DRAFT_with_range_confidence_gaps_visible</x:v>
      </x:c>
      <x:c r="AM7" s="33" t="n">
        <x:v>46268</x:v>
      </x:c>
      <x:c r="AN7" s="33" t="n">
        <x:v>46268</x:v>
      </x:c>
      <x:c r="AO7" s="27" t="str">
        <x:v>Review production change records that connect verification false negatives to release scope, detection timing, rollback authority, and consequence before containment.</x:v>
      </x:c>
      <x:c r="AP7" s="27" t="str">
        <x:v>Codex Desktop</x:v>
      </x:c>
      <x:c r="AQ7" s="27" t="str">
        <x:v>gpt-5.6-sol</x:v>
      </x:c>
      <x:c r="AR7" s="27" t="str">
        <x:v>xhigh</x:v>
      </x:c>
      <x:c r="AS7" s="27" t="str">
        <x:v>Select S5=2 in line with the owner disposition; 4 excludes a reasonably foreseeable escaped defect, while the non-safety-critical scope and bounded release controls do not justify the bottom anchors.</x:v>
      </x:c>
    </x:row>
    <x:row r="8" ht="320" customHeight="1">
      <x:c r="A8" s="27" t="str">
        <x:v>sp-0004</x:v>
      </x:c>
      <x:c r="B8" s="27" t="str">
        <x:v>deployment</x:v>
      </x:c>
      <x:c r="C8" s="27" t="str">
        <x:v>Deployment</x:v>
      </x:c>
      <x:c r="D8" s="27" t="str">
        <x:v>Software engineering</x:v>
      </x:c>
      <x:c r="E8" s="27" t="str">
        <x:v>mature_software_delivery_and_maintenance</x:v>
      </x:c>
      <x:c r="F8" s="27" t="str">
        <x:v>seed-sp-0004-v1</x:v>
      </x:c>
      <x:c r="G8" s="30" t="n">
        <x:v>2</x:v>
      </x:c>
      <x:c r="H8" s="27" t="str">
        <x:v>S1: intermediate judgment - packaging, release preparation, rollout and migration are executed through automation, configuration and orchestration, which is information work, but a material part of the stage's progress is gated by the state of a live production estate and by accumulated operating time in progressive rollout, which the 0 anchor names explicitly; S2: canary and staged-rollout signals arrive within minutes to hours and a full rollout ordinarily resolves within days; S3 cost: intermediate judgment recorded because cost and throughput diverge - an additional deployment attempt is near-free in a mature pipeline, costing pipeline compute and operator attention; S3 throughput: deployment attempts are serial against a single production estate and are further rate-limited by change control, freeze windows and deliberate blast-radius limits, so attainable throughput is materially constrained despite the low marginal cost; S4: intermediate judgment - no construction, growth, curing or healing floor applies, but deliberate soak and bake windows and the runtime of large data migrations set a real minimum elapsed time that pure analysis work does not carry; S5: rollout errors reach live users and can degrade or interrupt service, and schema or data migrations are not always cleanly reversible, but progressive rollout, feature flags and rollback ordinarily contain and reverse them at material cost; scope caveat: frozen V1 scope is a mature software change in an established production system; it excludes safety-critical software and does not represent first-time platform migrations; critical_path_role remains not_assessed.</x:v>
      </x:c>
      <x:c r="I8" s="27"/>
      <x:c r="J8" s="27" t="str">
        <x:v>independent-sp-0004-v1</x:v>
      </x:c>
      <x:c r="K8" s="30" t="n">
        <x:v>1</x:v>
      </x:c>
      <x:c r="L8" s="27" t="str">
        <x:v>S1: 3 — Intermediate judgment: packaging and release logic are digital, while migrations and production enablement require consequential operational coordination; S2: 3 — Intermediate judgment: rollout feedback is often hours to days, but complex migrations can extend into weeks; S3 cost: 2 — dry runs and deployment attempts require production-like environments, staff time, and rollback capacity; S3 throughput: rollout is repeatable but production sequencing and shared systems limit parallelism; S4: 4 — the scoped stage has no construction, growth, curing, or qualification floor; S5: 1 — Intermediate judgment: many failures can be rolled back, yet outages or data migration errors may be severe and not fully reversible; scope caveat: consequences depend on rollout architecture and exclude safety-critical software.</x:v>
      </x:c>
      <x:c r="M8" s="27"/>
      <x:c r="N8" s="27" t="str">
        <x:v>one_point_difference</x:v>
      </x:c>
      <x:c r="O8" s="27"/>
      <x:c r="P8" s="27"/>
      <x:c r="Q8" s="27"/>
      <x:c r="R8" s="27"/>
      <x:c r="S8" s="27"/>
      <x:c r="T8" s="27"/>
      <x:c r="U8" s="27"/>
      <x:c r="V8" s="30" t="n">
        <x:v>1</x:v>
      </x:c>
      <x:c r="W8" s="30"/>
      <x:c r="X8" s="30"/>
      <x:c r="Y8" s="27" t="str">
        <x:v>selected_provisional_pending_named_expert</x:v>
      </x:c>
      <x:c r="Z8" s="27" t="str">
        <x:v>medium</x:v>
      </x:c>
      <x:c r="AA8" s="27" t="str">
        <x:v>Independent runtime health monitoring and rollback or incident-command authority able to halt the rollout.</x:v>
      </x:c>
      <x:c r="AB8" s="27" t="str">
        <x:v>assumed_not_verified</x:v>
      </x:c>
      <x:c r="AC8" s="27" t="str">
        <x:v>The monitor must detect failure modes beyond the deployment controller's own success signal and the operator must be able to stop or reverse rollout promptly. Shared telemetry or automation can create correlated blind spots.</x:v>
      </x:c>
      <x:c r="AD8" s="27" t="str">
        <x:v>A bounded production outage, failed migration, limited data corruption, or recovery work before independent monitoring and rollback halt the rollout.</x:v>
      </x:c>
      <x:c r="AE8" s="27" t="str">
        <x:v>Extended outage, widespread data loss, or downstream business harm requiring monitoring, rollback, backup, or incident-command controls to fail independently.</x:v>
      </x:c>
      <x:c r="AF8" s="27"/>
      <x:c r="AG8" s="27" t="str">
        <x:v>No exact-stage canonical source on rollback effectiveness, migration reversibility, or change-failure consequences in the frozen mature-software scope.</x:v>
      </x:c>
      <x:c r="AH8" s="27"/>
      <x:c r="AI8" s="27" t="str">
        <x:v>EXP-SW-01</x:v>
      </x:c>
      <x:c r="AJ8" s="27" t="str">
        <x:v>pending_named_expert;source_or_boundary_evidence_gap;profile_population_and_owner_canonical_approval_not_performed</x:v>
      </x:c>
      <x:c r="AK8" s="27" t="str">
        <x:v>none</x:v>
      </x:c>
      <x:c r="AL8" s="27" t="str">
        <x:v>allowed_for_private_use_staged_wp2_and_public_pilot_only_as_EXPERT-CODED_DRAFT_with_range_confidence_gaps_visible</x:v>
      </x:c>
      <x:c r="AM8" s="33" t="n">
        <x:v>46268</x:v>
      </x:c>
      <x:c r="AN8" s="33" t="n">
        <x:v>46268</x:v>
      </x:c>
      <x:c r="AO8" s="27" t="str">
        <x:v>Obtain staged-deployment incident evidence with blast radius, detection source, halt authority, rollback outcome, and any irreversible data effect.</x:v>
      </x:c>
      <x:c r="AP8" s="27" t="str">
        <x:v>Codex Desktop</x:v>
      </x:c>
      <x:c r="AQ8" s="27" t="str">
        <x:v>gpt-5.6-sol</x:v>
      </x:c>
      <x:c r="AR8" s="27" t="str">
        <x:v>xhigh</x:v>
      </x:c>
      <x:c r="AS8" s="27" t="str">
        <x:v>Select the independent value 1: errors can reach live state and be partly irreversible before a real runtime control acts, despite progressive rollout and rollback.</x:v>
      </x:c>
    </x:row>
    <x:row r="9" ht="320" customHeight="1">
      <x:c r="A9" s="27" t="str">
        <x:v>sp-0005</x:v>
      </x:c>
      <x:c r="B9" s="27" t="str">
        <x:v>operations_and_maintenance</x:v>
      </x:c>
      <x:c r="C9" s="27" t="str">
        <x:v>Operations and maintenance</x:v>
      </x:c>
      <x:c r="D9" s="27" t="str">
        <x:v>Software engineering</x:v>
      </x:c>
      <x:c r="E9" s="27" t="str">
        <x:v>mature_software_delivery_and_maintenance</x:v>
      </x:c>
      <x:c r="F9" s="27" t="str">
        <x:v>seed-sp-0005-v1</x:v>
      </x:c>
      <x:c r="G9" s="30" t="n">
        <x:v>2</x:v>
      </x:c>
      <x:c r="H9" s="27" t="str">
        <x:v>S1: intermediate judgment - monitoring, incident diagnosis, bug fixing and small corrective changes are predominantly information work, but a material part of what this stage learns, namely latent faults, capacity limits and wear, becomes visible only through accumulated production operating time, which the 0 anchor names explicitly; S2: diagnosis and corrective-change cycles ordinarily close within minutes to days on mature observability and release tooling; S3 cost: intermediate judgment recorded because cost and throughput diverge - reproducing a fault or trialling a fix in a non-production environment is near-free at the margin; S3 throughput: most attempts parallelise across environments, but a material class of faults can only be exercised against the single production estate or must wait for a rare condition to recur, so throughput for exactly the hardest attempts is low; S4: no construction, growth, curing, healing or qualification floor governs elapsed time within the stage; waiting for a rare fault to recur is recorded under S2 and S3 rather than treated as a physical floor; S5: corrective changes and incident actions operate on live state, so an error can extend an outage or lose data, and although rollback, backups and containment ordinarily reverse the damage, the externality on users is real and the cost is material; scope caveat: frozen V1 scope is post-deployment operation of an established production system and excludes initial feature design and the release rollout itself; critical_path_role remains not_assessed.</x:v>
      </x:c>
      <x:c r="I9" s="27"/>
      <x:c r="J9" s="27" t="str">
        <x:v>independent-sp-0005-v1</x:v>
      </x:c>
      <x:c r="K9" s="30" t="n">
        <x:v>1</x:v>
      </x:c>
      <x:c r="L9" s="27" t="str">
        <x:v>S1: 4 — monitoring, diagnosis, incident response, bug fixing, and routine upkeep are primarily information and software work; S2: 4 — operational detect-diagnose-correct loops ordinarily run in minutes to days; S3 cost: 3 — Intermediate judgment: log analysis and sandbox fixes are cheap, but realistic reproduction and incident response consume scarce production context; S3 throughput: analysis and patching can run in parallel, while live incidents and releases impose serial bottlenecks; S4: 4 — no intrinsic physical maturation floor dominates; S5: 1 — Intermediate judgment: rollback often contains errors, but operational mistakes can cause outages, data loss, or cascading service effects; scope caveat: applies to mature non-safety-critical systems and routine corrective work.</x:v>
      </x:c>
      <x:c r="M9" s="27"/>
      <x:c r="N9" s="27" t="str">
        <x:v>one_point_difference</x:v>
      </x:c>
      <x:c r="O9" s="27"/>
      <x:c r="P9" s="27"/>
      <x:c r="Q9" s="27"/>
      <x:c r="R9" s="27"/>
      <x:c r="S9" s="27"/>
      <x:c r="T9" s="27"/>
      <x:c r="U9" s="27"/>
      <x:c r="V9" s="30" t="n">
        <x:v>1</x:v>
      </x:c>
      <x:c r="W9" s="30"/>
      <x:c r="X9" s="30"/>
      <x:c r="Y9" s="27" t="str">
        <x:v>selected_provisional_pending_named_expert</x:v>
      </x:c>
      <x:c r="Z9" s="27" t="str">
        <x:v>medium</x:v>
      </x:c>
      <x:c r="AA9" s="27" t="str">
        <x:v>Independent observability alarm plus incident-command, change-approval, or automated safety control able to stop and reverse the operational action.</x:v>
      </x:c>
      <x:c r="AB9" s="27" t="str">
        <x:v>assumed_not_verified</x:v>
      </x:c>
      <x:c r="AC9" s="27" t="str">
        <x:v>Monitoring must be independent of the operator's mistaken diagnosis and paired with authority to isolate or roll back. Common telemetry, runbooks, or automation can correlate detection failure with the original error.</x:v>
      </x:c>
      <x:c r="AD9" s="27" t="str">
        <x:v>Extended incident duration, bounded service outage, lost or corrupted data, and recovery burden before independent detection and command contain the action.</x:v>
      </x:c>
      <x:c r="AE9" s="27" t="str">
        <x:v>Remote service cascades or prolonged losses requiring independent observability, incident command, backup, or dependent-service controls to fail separately.</x:v>
      </x:c>
      <x:c r="AF9" s="27"/>
      <x:c r="AG9" s="27" t="str">
        <x:v>No exact-stage canonical source on mature-software operational error consequences, recovery success, or independence of incident controls.</x:v>
      </x:c>
      <x:c r="AH9" s="27"/>
      <x:c r="AI9" s="27" t="str">
        <x:v>EXP-SW-01</x:v>
      </x:c>
      <x:c r="AJ9" s="27" t="str">
        <x:v>pending_named_expert;source_or_boundary_evidence_gap;profile_population_and_owner_canonical_approval_not_performed</x:v>
      </x:c>
      <x:c r="AK9" s="27" t="str">
        <x:v>none</x:v>
      </x:c>
      <x:c r="AL9" s="27" t="str">
        <x:v>allowed_for_private_use_staged_wp2_and_public_pilot_only_as_EXPERT-CODED_DRAFT_with_range_confidence_gaps_visible</x:v>
      </x:c>
      <x:c r="AM9" s="33" t="n">
        <x:v>46268</x:v>
      </x:c>
      <x:c r="AN9" s="33" t="n">
        <x:v>46268</x:v>
      </x:c>
      <x:c r="AO9" s="27" t="str">
        <x:v>Obtain post-incident records separating the erroneous operational action, independent detection, containment authority, timing, and direct loss before containment.</x:v>
      </x:c>
      <x:c r="AP9" s="27" t="str">
        <x:v>Codex Desktop</x:v>
      </x:c>
      <x:c r="AQ9" s="27" t="str">
        <x:v>gpt-5.6-sol</x:v>
      </x:c>
      <x:c r="AR9" s="27" t="str">
        <x:v>xhigh</x:v>
      </x:c>
      <x:c r="AS9" s="27" t="str">
        <x:v>Select the independent value 1: an error acts on live state and can impose irreversible data or user consequences before containment, even when rollback is often available.</x:v>
      </x:c>
    </x:row>
    <x:row r="10" ht="320" customHeight="1">
      <x:c r="A10" s="27" t="str">
        <x:v>sp-0008</x:v>
      </x:c>
      <x:c r="B10" s="27" t="str">
        <x:v>supply_and_tooling</x:v>
      </x:c>
      <x:c r="C10" s="27" t="str">
        <x:v>Supply and tooling</x:v>
      </x:c>
      <x:c r="D10" s="27" t="str">
        <x:v>Discrete manufacturing</x:v>
      </x:c>
      <x:c r="E10" s="27" t="str">
        <x:v>discrete_manufacturing_npi_and_operations</x:v>
      </x:c>
      <x:c r="F10" s="27" t="str">
        <x:v>seed-sp-0008-v1</x:v>
      </x:c>
      <x:c r="G10" s="30" t="n">
        <x:v>1</x:v>
      </x:c>
      <x:c r="H10" s="27" t="str">
        <x:v>S1: intermediate judgment - sourcing analysis, tool design and supplier data work are a real informational component, but the stage's progress is set by the physical fabrication of tooling and by material and supplier readiness, so it sits above the fully physical anchor without approaching balance; S2: the ordinary loop is order, fabricate, sample and revise; hard tooling iterations and supplier qualification cycles run in months, which is the slow end of the weeks-to-months band; S3 cost: cost and throughput diverge - each attempt is expensive, since a tool recut or a repeat supplier qualification costs from thousands to hundreds of thousands of currency units and consumes engineering and audit effort; S3 throughput: genuine parallelism exists across different parts, tools and suppliers, which keeps the coding above the scarce-and-expensive anchor, but each individual tool or supplier is a strictly serial line of attempts, so decision-relevant throughput per item is very low; S4: intermediate judgment - sourcing decisions and tool-design release proceed without a physical floor, but the stage's critical elapsed time is dominated by tool fabrication, heat treatment and material lead times, which are physical durations that cannot be compressed by better information; S5: intermediate judgment - errors are recoverable in principle but ordinarily require re-cutting or re-procuring hardware at high cost and months of delay, and material removed from a tool cannot be restored, so errors are materially worse than containable while falling short of catastrophic or irreversible; scope caveat: frozen V1 scope covers supplier and material readiness plus tooling sourcing and preparation for the frozen manufacturing pathway; it excludes on-site commissioning and routine production, and a materially different sourcing route would require a distinct pathway; critical_path_role remains not_assessed.</x:v>
      </x:c>
      <x:c r="I10" s="27"/>
      <x:c r="J10" s="27" t="str">
        <x:v>independent-sp-0008-v1</x:v>
      </x:c>
      <x:c r="K10" s="30" t="n">
        <x:v>2</x:v>
      </x:c>
      <x:c r="L10" s="27" t="str">
        <x:v>S1: 1 — Intermediate judgment: supplier coordination and tool design are informational, but procurement, fabrication, and physical readiness dominate progress; S2: 1 — Intermediate judgment: supplier and tooling loops commonly take months, slower than the weeks-to-months anchor but not inherently decade-scale; S3 cost: 1 — Intermediate judgment: tooling iterations are costly, though smaller design and supplier attempts are cheaper; S3 throughput: suppliers may work in parallel, but specialized fabrication capacity and lead times sharply constrain throughput; S4: 0 — fabrication, delivery, and equipment-readiness floors dominate elapsed time; S5: 2 — mistakes create substantial cost and delay, but tools or supply plans can usually be reworked or replaced; scope caveat: combines supply readiness with tooling for medium-to-high-volume discrete NPI.</x:v>
      </x:c>
      <x:c r="M10" s="27"/>
      <x:c r="N10" s="27" t="str">
        <x:v>one_point_difference</x:v>
      </x:c>
      <x:c r="O10" s="27"/>
      <x:c r="P10" s="27"/>
      <x:c r="Q10" s="27"/>
      <x:c r="R10" s="27"/>
      <x:c r="S10" s="27"/>
      <x:c r="T10" s="27"/>
      <x:c r="U10" s="27"/>
      <x:c r="V10" s="30" t="n">
        <x:v>2</x:v>
      </x:c>
      <x:c r="W10" s="30"/>
      <x:c r="X10" s="30"/>
      <x:c r="Y10" s="27" t="str">
        <x:v>selected_provisional_pending_named_expert</x:v>
      </x:c>
      <x:c r="Z10" s="27" t="str">
        <x:v>medium</x:v>
      </x:c>
      <x:c r="AA10" s="27" t="str">
        <x:v>Independent tool tryout, first-article inspection, and supplier or material acceptance before commissioning or production release.</x:v>
      </x:c>
      <x:c r="AB10" s="27" t="str">
        <x:v>assumed_not_verified</x:v>
      </x:c>
      <x:c r="AC10" s="27" t="str">
        <x:v>The acceptance function must measure the delivered tool or supply independently and have authority to reject it before line release. Supplier self-certification or the same engineering sign-off may be correlated rather than independent.</x:v>
      </x:c>
      <x:c r="AD10" s="27" t="str">
        <x:v>Scrapped or recut tooling, lost material, repeat procurement, and schedule delay incurred before first-article or supplier acceptance rejects the output.</x:v>
      </x:c>
      <x:c r="AE10" s="27" t="str">
        <x:v>Production defects, customer harm, or line-wide losses that require independent tryout, acceptance, commissioning, and quality controls to fail later.</x:v>
      </x:c>
      <x:c r="AF10" s="27"/>
      <x:c r="AG10" s="27" t="str">
        <x:v>No exact-stage canonical source on tooling rework cost, supplier qualification failure, or the independence of first-article acceptance in the frozen NPI pathway.</x:v>
      </x:c>
      <x:c r="AH10" s="27"/>
      <x:c r="AI10" s="27" t="str">
        <x:v>EXP-MFG-01</x:v>
      </x:c>
      <x:c r="AJ10" s="27" t="str">
        <x:v>pending_named_expert;source_or_boundary_evidence_gap;profile_population_and_owner_canonical_approval_not_performed</x:v>
      </x:c>
      <x:c r="AK10" s="27" t="str">
        <x:v>none</x:v>
      </x:c>
      <x:c r="AL10" s="27" t="str">
        <x:v>allowed_for_private_use_staged_wp2_and_public_pilot_only_as_EXPERT-CODED_DRAFT_with_range_confidence_gaps_visible</x:v>
      </x:c>
      <x:c r="AM10" s="33" t="n">
        <x:v>46268</x:v>
      </x:c>
      <x:c r="AN10" s="33" t="n">
        <x:v>46268</x:v>
      </x:c>
      <x:c r="AO10" s="27" t="str">
        <x:v>Obtain NPI records with tool or supplier error, first independent detection, rejection authority, elapsed rework, and loss before production release.</x:v>
      </x:c>
      <x:c r="AP10" s="27" t="str">
        <x:v>Codex Desktop</x:v>
      </x:c>
      <x:c r="AQ10" s="27" t="str">
        <x:v>gpt-5.6-sol</x:v>
      </x:c>
      <x:c r="AR10" s="27" t="str">
        <x:v>xhigh</x:v>
      </x:c>
      <x:c r="AS10" s="27" t="str">
        <x:v>Select the independent value 2: tooling mistakes can be expensive and partly irreversible, but the next acceptance boundary ordinarily contains them before wider production consequences.</x:v>
      </x:c>
    </x:row>
    <x:row r="11" ht="320" customHeight="1">
      <x:c r="A11" s="27" t="str">
        <x:v>sp-0011</x:v>
      </x:c>
      <x:c r="B11" s="27" t="str">
        <x:v>production_and_process_control</x:v>
      </x:c>
      <x:c r="C11" s="27" t="str">
        <x:v>Production and process control</x:v>
      </x:c>
      <x:c r="D11" s="27" t="str">
        <x:v>Discrete manufacturing</x:v>
      </x:c>
      <x:c r="E11" s="27" t="str">
        <x:v>discrete_manufacturing_npi_and_operations</x:v>
      </x:c>
      <x:c r="F11" s="27" t="str">
        <x:v>seed-sp-0011-v1</x:v>
      </x:c>
      <x:c r="G11" s="30" t="n">
        <x:v>2</x:v>
      </x:c>
      <x:c r="H11" s="27" t="str">
        <x:v>S1: the scoped stage bundles physical production execution with the monitoring and adjustment of process conditions, so informational and physical work are both material and neither clearly dominates; S2: intermediate judgment - in-line measurement gives within-shift feedback on many parameters, but a material class of adjustments must wait for downstream metrology or for enough units to accumulate before an effect is distinguishable from noise, so the ordinary loop sits between the minutes-to-days and weeks-to-months anchors; S3 cost: each deliberate attempt consumes real material and line time and risks saleable output, so the marginal cost is meaningful rather than near-free; S3 throughput: attempts remain repeatable and every unit produced generates observational data, but designed experiments on a running line are constrained by the cost of disturbing output and by the number of available lines, so throughput is material but constrained; S4: physical process cycle times impose unavoidable delay, but no single construction, growth, curing or qualification floor dominates the scoped stage; S5: errors produce scrap, rework, equipment damage and occasionally defective units that reach customers, which is material cost and real externality, but containment, sorting and process correction ordinarily reverse the consequences; scope caveat: frozen V1 scope excludes upstream product design, line commissioning and any separate regulated product-qualification pathway; critical_path_role remains not_assessed.</x:v>
      </x:c>
      <x:c r="I11" s="27"/>
      <x:c r="J11" s="27" t="str">
        <x:v>independent-sp-0011-v1</x:v>
      </x:c>
      <x:c r="K11" s="30" t="n">
        <x:v>1</x:v>
      </x:c>
      <x:c r="L11" s="27" t="str">
        <x:v>S1: 2 — progress combines digital monitoring and control decisions with physical transformation and line execution; S2: 4 — control feedback ordinarily occurs in real time through minutes or days; S3 cost: 2 — parameter changes and trial runs consume materials, machine time, and yield; S3 throughput: repeatable trials are constrained by line cadence and shared equipment despite parallel sensing; S4: 2 — physical cycle times materially constrain adjustment, but no single universal maturation floor governs the full stage; S5: 1 — Intermediate judgment: control errors can create scrap, equipment damage, or safety events, while safeguards often limit the consequence; scope caveat: excludes separate regulated product qualification.</x:v>
      </x:c>
      <x:c r="M11" s="27"/>
      <x:c r="N11" s="27" t="str">
        <x:v>one_point_difference</x:v>
      </x:c>
      <x:c r="O11" s="27"/>
      <x:c r="P11" s="27"/>
      <x:c r="Q11" s="27"/>
      <x:c r="R11" s="27"/>
      <x:c r="S11" s="27"/>
      <x:c r="T11" s="27"/>
      <x:c r="U11" s="27"/>
      <x:c r="V11" s="30"/>
      <x:c r="W11" s="30" t="n">
        <x:v>1</x:v>
      </x:c>
      <x:c r="X11" s="30" t="n">
        <x:v>2</x:v>
      </x:c>
      <x:c r="Y11" s="27" t="str">
        <x:v>preserved_range</x:v>
      </x:c>
      <x:c r="Z11" s="27" t="str">
        <x:v>low</x:v>
      </x:c>
      <x:c r="AA11" s="27" t="str">
        <x:v>Independent in-process stop or inspection and downstream quality-release control before the affected lot leaves controlled production.</x:v>
      </x:c>
      <x:c r="AB11" s="27" t="str">
        <x:v>assumed_not_verified</x:v>
      </x:c>
      <x:c r="AC11" s="27" t="str">
        <x:v>Independence depends on separate sensors, sampling, personnel, and stop authority. Control and inspection that share measurements, models, or management pressure may fail together; timing determines the defect-lot size.</x:v>
      </x:c>
      <x:c r="AD11" s="27" t="str">
        <x:v>Scrap, rework, a bounded defective lot, localized equipment damage, or worker exposure before an independent stop or quality-release control acts.</x:v>
      </x:c>
      <x:c r="AE11" s="27" t="str">
        <x:v>Customer or regulated-product harm requiring independent downstream quality release, traceability, or product-specific safety controls to fail.</x:v>
      </x:c>
      <x:c r="AF11" s="27"/>
      <x:c r="AG11" s="27" t="str">
        <x:v>No exact-stage canonical source resolves the typical defect-lot, equipment, or safety consequence before independent process and quality controls in the frozen manufacturing scope.</x:v>
      </x:c>
      <x:c r="AH11" s="27"/>
      <x:c r="AI11" s="27" t="str">
        <x:v>EXP-MFG-01</x:v>
      </x:c>
      <x:c r="AJ11" s="27" t="str">
        <x:v>pending_named_expert;source_or_boundary_evidence_gap;profile_population_and_owner_canonical_approval_not_performed</x:v>
      </x:c>
      <x:c r="AK11" s="27" t="str">
        <x:v>none</x:v>
      </x:c>
      <x:c r="AL11" s="27" t="str">
        <x:v>allowed_for_private_use_staged_wp2_and_public_pilot_only_as_EXPERT-CODED_DRAFT_with_range_confidence_gaps_visible</x:v>
      </x:c>
      <x:c r="AM11" s="33" t="n">
        <x:v>46268</x:v>
      </x:c>
      <x:c r="AN11" s="33" t="n">
        <x:v>46268</x:v>
      </x:c>
      <x:c r="AO11" s="27" t="str">
        <x:v>Obtain representative process-control excursions with sensor independence, stop authority, detection timing, lot size, damage, and containment outcome.</x:v>
      </x:c>
      <x:c r="AP11" s="27" t="str">
        <x:v>Codex Desktop</x:v>
      </x:c>
      <x:c r="AQ11" s="27" t="str">
        <x:v>gpt-5.6-sol</x:v>
      </x:c>
      <x:c r="AR11" s="27" t="str">
        <x:v>xhigh</x:v>
      </x:c>
      <x:c r="AS11" s="27" t="str">
        <x:v>Preserve 1-2: the frozen scope admits both material contained process loss and low-tolerance equipment or safety consequences, and the record does not establish a representative independent boundary.</x:v>
      </x:c>
    </x:row>
    <x:row r="12" ht="320" customHeight="1">
      <x:c r="A12" s="27" t="str">
        <x:v>sp-0012</x:v>
      </x:c>
      <x:c r="B12" s="27" t="str">
        <x:v>quality_assurance</x:v>
      </x:c>
      <x:c r="C12" s="27" t="str">
        <x:v>Quality assurance</x:v>
      </x:c>
      <x:c r="D12" s="27" t="str">
        <x:v>Discrete manufacturing</x:v>
      </x:c>
      <x:c r="E12" s="27" t="str">
        <x:v>discrete_manufacturing_npi_and_operations</x:v>
      </x:c>
      <x:c r="F12" s="27" t="str">
        <x:v>seed-sp-0012-v1</x:v>
      </x:c>
      <x:c r="G12" s="30" t="n">
        <x:v>2</x:v>
      </x:c>
      <x:c r="H12" s="27" t="str">
        <x:v>S1: intermediate judgment - the value-adding content of quality assurance is measurement-data analysis, statistical inference and disposition decisions, which are informational, but fixturing, gauging and hands-on or destructive inspection are a real physical component, so the stage is more informational than balanced without reaching the fully informational anchor; S2: intermediate judgment - routine in-process and end-of-line measurement returns within a shift, but confirming that a quality intervention actually changed a defect rate requires accumulating enough units to separate signal from noise, which takes days to weeks, so the loop sits between the anchors; S3 cost: cost and throughput diverge - automated in-line inspection has near-zero marginal cost per measurement and runs at production rate; S3 throughput: automated inspection parallelises across stations, but destructive tests consume saleable product and scarce metrology such as coordinate measurement or computed tomography queues serially, so the decision-relevant attempts are materially constrained; S4: intermediate judgment - most inspection is fast and imposes no floor on the stage, but destructive, environmental and long-fixture-setup measurements set a hard minimum duration for part of the workload, which keeps the coding below full physical flexibility; S5: false rejects cost scrap and false accepts allow defective product to reach customers, and in high volume an escaped-defect population can require field containment, which is material cost and real externality; within the scoped stage these are ordinarily contained and reversed by sorting and containment actions; scope caveat: frozen V1 scope is production quality assurance during ramp and operations and explicitly does not represent a separate regulated product-qualification pathway; in safety-critical product classes the error-tolerance coding would be lower and would require a distinct profile; critical_path_role remains not_assessed.</x:v>
      </x:c>
      <x:c r="I12" s="27"/>
      <x:c r="J12" s="27" t="str">
        <x:v>independent-sp-0012-v1</x:v>
      </x:c>
      <x:c r="K12" s="30" t="n">
        <x:v>1</x:v>
      </x:c>
      <x:c r="L12" s="27" t="str">
        <x:v>S1: 2 — quality assurance combines data interpretation and classification with physical inspection, sampling, and test execution; S2: 3 — Intermediate judgment: many in-line loops run in minutes to days, while investigations and corrective verification can take days to weeks; S3 cost: 2 — inspections are repeatable but consume equipment, samples, and line time; S3 throughput: many checks can be parallelized, while destructive tests and production cadence constrain throughput; S4: 3 — Intermediate judgment: physical sampling and tests impose delay, but the frozen scope excludes a dominant regulated qualification floor; S5: 1 — Intermediate judgment: false acceptance can release defects and false rejection wastes output, yet traceability and containment often limit harm; scope caveat: in-process and ongoing QA only, not a separate qualification pathway.</x:v>
      </x:c>
      <x:c r="M12" s="27"/>
      <x:c r="N12" s="27" t="str">
        <x:v>one_point_difference</x:v>
      </x:c>
      <x:c r="O12" s="27"/>
      <x:c r="P12" s="27"/>
      <x:c r="Q12" s="27"/>
      <x:c r="R12" s="27"/>
      <x:c r="S12" s="27"/>
      <x:c r="T12" s="27"/>
      <x:c r="U12" s="27"/>
      <x:c r="V12" s="30"/>
      <x:c r="W12" s="30" t="n">
        <x:v>1</x:v>
      </x:c>
      <x:c r="X12" s="30" t="n">
        <x:v>2</x:v>
      </x:c>
      <x:c r="Y12" s="27" t="str">
        <x:v>preserved_range</x:v>
      </x:c>
      <x:c r="Z12" s="27" t="str">
        <x:v>low</x:v>
      </x:c>
      <x:c r="AA12" s="27" t="str">
        <x:v>Independent shipment-release review, downstream incoming inspection, or field traceability and containment control.</x:v>
      </x:c>
      <x:c r="AB12" s="27" t="str">
        <x:v>assumed_not_verified</x:v>
      </x:c>
      <x:c r="AC12" s="27" t="str">
        <x:v>Many plants have no uniform second assurance boundary after QA. Independence requires separate evidence and authority to quarantine output; shared sampling plans or gauges create correlated false-acceptance risk, and late detection expands the consequence.</x:v>
      </x:c>
      <x:c r="AD12" s="27" t="str">
        <x:v>False rejection and scrap, or release of a bounded defect population causing customer disruption and field containment before an independent downstream check acts.</x:v>
      </x:c>
      <x:c r="AE12" s="27" t="str">
        <x:v>Safety-critical or regulated-product harm outside the frozen scope, and remote customer harm requiring later traceability, containment, or product-specific safety controls to fail.</x:v>
      </x:c>
      <x:c r="AF12" s="27"/>
      <x:c r="AG12" s="27" t="str">
        <x:v>No exact-stage canonical source establishes a representative post-QA independent boundary, escape rate, defect-lot consequence, or containment performance.</x:v>
      </x:c>
      <x:c r="AH12" s="27"/>
      <x:c r="AI12" s="27" t="str">
        <x:v>EXP-MFG-01</x:v>
      </x:c>
      <x:c r="AJ12" s="27" t="str">
        <x:v>pending_named_expert;source_or_boundary_evidence_gap;profile_population_and_owner_canonical_approval_not_performed</x:v>
      </x:c>
      <x:c r="AK12" s="27" t="str">
        <x:v>none</x:v>
      </x:c>
      <x:c r="AL12" s="27" t="str">
        <x:v>allowed_for_private_use_staged_wp2_and_public_pilot_only_as_EXPERT-CODED_DRAFT_with_range_confidence_gaps_visible</x:v>
      </x:c>
      <x:c r="AM12" s="33" t="n">
        <x:v>46268</x:v>
      </x:c>
      <x:c r="AN12" s="33" t="n">
        <x:v>46268</x:v>
      </x:c>
      <x:c r="AO12" s="27" t="str">
        <x:v>Obtain production QA escape cases with product class, sampling method, independent release or incoming check, detection timing, affected population, and containment result.</x:v>
      </x:c>
      <x:c r="AP12" s="27" t="str">
        <x:v>Codex Desktop</x:v>
      </x:c>
      <x:c r="AQ12" s="27" t="str">
        <x:v>gpt-5.6-sol</x:v>
      </x:c>
      <x:c r="AR12" s="27" t="str">
        <x:v>xhigh</x:v>
      </x:c>
      <x:c r="AS12" s="27" t="str">
        <x:v>Preserve 1-2: false acceptance has direct externality, but the non-regulated frozen scope and variable post-QA boundary do not justify a single point.</x:v>
      </x:c>
    </x:row>
    <x:row r="13" ht="320" customHeight="1">
      <x:c r="A13" s="27" t="str">
        <x:v>sp-0013</x:v>
      </x:c>
      <x:c r="B13" s="27" t="str">
        <x:v>maintenance_and_continuous_improvement</x:v>
      </x:c>
      <x:c r="C13" s="27" t="str">
        <x:v>Maintenance and continuous improvement</x:v>
      </x:c>
      <x:c r="D13" s="27" t="str">
        <x:v>Discrete manufacturing</x:v>
      </x:c>
      <x:c r="E13" s="27" t="str">
        <x:v>discrete_manufacturing_npi_and_operations</x:v>
      </x:c>
      <x:c r="F13" s="27" t="str">
        <x:v>seed-sp-0013-v1</x:v>
      </x:c>
      <x:c r="G13" s="30" t="n">
        <x:v>2</x:v>
      </x:c>
      <x:c r="H13" s="27" t="str">
        <x:v>S1: the stage bundles hands-on equipment upkeep and repair, which is physical, with reliability analysis, yield engineering and condition-based maintenance analytics, which are informational; both are material and neither dominates; S2: routine upkeep confirms itself the same day, but the improvement work that defines the stage's learning requires weeks of production data to distinguish a real yield or reliability change from normal variation, and the slower loop governs; S3 cost: cost and throughput diverge - mining existing production and maintenance data is near-free, while any trialled improvement or preventive intervention consumes production time, spare parts and skilled labour; S3 throughput: analytical attempts are unlimited, but physical improvement trials are limited to the number of available machines and lines and must be scheduled around output commitments, so throughput is material but constrained; S4: equipment downtime windows, spare-part lead times and the run time needed to validate an improvement all create meaningful delay, but no single construction, curing, growth or qualification floor dominates the stage; S5: a botched repair or an ill-judged process change costs equipment availability, yield and occasionally equipment damage or a safety event, which is material, but the consequences are ordinarily contained and reversed by restoring the prior configuration; scope caveat: frozen V1 scope is upkeep and iterative improvement during operations and excludes initial line commissioning and new-product design; all five dimensions landed at the operational middle of the rubric, so this row is a candidate for reviewer attention rather than a confident structural signal; critical_path_role remains not_assessed.</x:v>
      </x:c>
      <x:c r="I13" s="27"/>
      <x:c r="J13" s="27" t="str">
        <x:v>independent-sp-0013-v1</x:v>
      </x:c>
      <x:c r="K13" s="30" t="n">
        <x:v>1</x:v>
      </x:c>
      <x:c r="L13" s="27" t="str">
        <x:v>S1: 2 — diagnosis and improvement analysis are informational, while repair, adjustment, and equipment upkeep are physical; S2: 2 — ordinary reliability and improvement loops span weeks to months despite some rapid repairs; S3 cost: 2 — analytical trials are inexpensive, but interventions require downtime, parts, and machine access; S3 throughput: multiple analyses can proceed, while equipment access makes interventions constrained and sometimes serial; S4: 2 — repair and installation delays matter without one universal time floor dominating every task; S5: 1 — Intermediate judgment: maintenance mistakes can cause damage, downtime, or safety risks, though isolation and rework often contain them; scope caveat: ongoing operations only, excluding initial commissioning and new-product design.</x:v>
      </x:c>
      <x:c r="M13" s="27"/>
      <x:c r="N13" s="27" t="str">
        <x:v>one_point_difference</x:v>
      </x:c>
      <x:c r="O13" s="27"/>
      <x:c r="P13" s="27"/>
      <x:c r="Q13" s="27"/>
      <x:c r="R13" s="27"/>
      <x:c r="S13" s="27"/>
      <x:c r="T13" s="27"/>
      <x:c r="U13" s="27"/>
      <x:c r="V13" s="30"/>
      <x:c r="W13" s="30" t="n">
        <x:v>1</x:v>
      </x:c>
      <x:c r="X13" s="30" t="n">
        <x:v>2</x:v>
      </x:c>
      <x:c r="Y13" s="27" t="str">
        <x:v>preserved_range</x:v>
      </x:c>
      <x:c r="Z13" s="27" t="str">
        <x:v>low</x:v>
      </x:c>
      <x:c r="AA13" s="27" t="str">
        <x:v>Independent post-maintenance functional or safety verification and restart authorization before sustained production resumes.</x:v>
      </x:c>
      <x:c r="AB13" s="27" t="str">
        <x:v>assumed_not_verified</x:v>
      </x:c>
      <x:c r="AC13" s="27" t="str">
        <x:v>The checker must use an independent test and possess stop authority. A self-check by the same maintainer or a restart signal using the same faulty instrumentation is not independent; incomplete verification can correlate with the repair error.</x:v>
      </x:c>
      <x:c r="AD13" s="27" t="str">
        <x:v>Extended downtime, repeat repair, localized equipment damage, lost output, or bounded safety exposure before independent post-maintenance verification stops restart.</x:v>
      </x:c>
      <x:c r="AE13" s="27" t="str">
        <x:v>Sustained production defects, wider worker or customer harm, and remote line cascades requiring restart verification and later process or quality controls to fail.</x:v>
      </x:c>
      <x:c r="AF13" s="27"/>
      <x:c r="AG13" s="27" t="str">
        <x:v>No exact-stage canonical source resolves typical post-maintenance verification independence or the consequence distribution in the frozen manufacturing pathway.</x:v>
      </x:c>
      <x:c r="AH13" s="27"/>
      <x:c r="AI13" s="27" t="str">
        <x:v>EXP-MFG-01</x:v>
      </x:c>
      <x:c r="AJ13" s="27" t="str">
        <x:v>pending_named_expert;source_or_boundary_evidence_gap;profile_population_and_owner_canonical_approval_not_performed</x:v>
      </x:c>
      <x:c r="AK13" s="27" t="str">
        <x:v>none</x:v>
      </x:c>
      <x:c r="AL13" s="27" t="str">
        <x:v>allowed_for_private_use_staged_wp2_and_public_pilot_only_as_EXPERT-CODED_DRAFT_with_range_confidence_gaps_visible</x:v>
      </x:c>
      <x:c r="AM13" s="33" t="n">
        <x:v>46268</x:v>
      </x:c>
      <x:c r="AN13" s="33" t="n">
        <x:v>46268</x:v>
      </x:c>
      <x:c r="AO13" s="27" t="str">
        <x:v>Obtain maintenance error and restart records with checker independence, test coverage, stop authority, detection timing, damage, downtime, and safety consequence.</x:v>
      </x:c>
      <x:c r="AP13" s="27" t="str">
        <x:v>Codex Desktop</x:v>
      </x:c>
      <x:c r="AQ13" s="27" t="str">
        <x:v>gpt-5.6-sol</x:v>
      </x:c>
      <x:c r="AR13" s="27" t="str">
        <x:v>xhigh</x:v>
      </x:c>
      <x:c r="AS13" s="27" t="str">
        <x:v>Preserve 1-2: direct physical and safety consequences can be serious, but isolation and independent restart checks often contain them; current rationales do not justify a universal point.</x:v>
      </x:c>
    </x:row>
    <x:row r="14" ht="320" customHeight="1">
      <x:c r="A14" s="27" t="str">
        <x:v>sp-0014</x:v>
      </x:c>
      <x:c r="B14" s="27" t="str">
        <x:v>theory_and_system_design</x:v>
      </x:c>
      <x:c r="C14" s="27" t="str">
        <x:v>Theory and system design</x:v>
      </x:c>
      <x:c r="D14" s="27" t="str">
        <x:v>Fusion, magnetic confinement</x:v>
      </x:c>
      <x:c r="E14" s="27" t="str">
        <x:v>tokamak_research_to_pilot_plant_demonstration</x:v>
      </x:c>
      <x:c r="F14" s="27" t="str">
        <x:v>seed-sp-0014-v1</x:v>
      </x:c>
      <x:c r="G14" s="30" t="n">
        <x:v>3</x:v>
      </x:c>
      <x:c r="H14" s="27"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I14" s="27"/>
      <x:c r="J14" s="27" t="str">
        <x:v>independent-sp-0014-v1</x:v>
      </x:c>
      <x:c r="K14" s="30" t="n">
        <x:v>2</x:v>
      </x:c>
      <x:c r="L14" s="27"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M14" s="27"/>
      <x:c r="N14" s="27" t="str">
        <x:v>one_point_difference</x:v>
      </x:c>
      <x:c r="O14" s="27"/>
      <x:c r="P14" s="27"/>
      <x:c r="Q14" s="27"/>
      <x:c r="R14" s="27"/>
      <x:c r="S14" s="27" t="str">
        <x:v>2-3</x:v>
      </x:c>
      <x:c r="T14" s="27" t="str">
        <x:v>low</x:v>
      </x:c>
      <x:c r="U14" s="27" t="str">
        <x:v>recommends_range</x:v>
      </x:c>
      <x:c r="V14" s="30"/>
      <x:c r="W14" s="30" t="n">
        <x:v>2</x:v>
      </x:c>
      <x:c r="X14" s="30" t="n">
        <x:v>3</x:v>
      </x:c>
      <x:c r="Y14" s="27" t="str">
        <x:v>preserved_range</x:v>
      </x:c>
      <x:c r="Z14" s="27" t="str">
        <x:v>low</x:v>
      </x:c>
      <x:c r="AA14" s="27" t="str">
        <x:v>Independent subsystem design verification before fabrication release.</x:v>
      </x:c>
      <x:c r="AB14" s="27" t="str">
        <x:v>assumed_not_verified</x:v>
      </x:c>
      <x:c r="AC14" s="27" t="str">
        <x:v>The merged domain review marks this boundary assumed_not_verified; named review is required where flagged to test detection, authority, timing, and correlated-failure concerns.</x:v>
      </x:c>
      <x:c r="AD14" s="27" t="str">
        <x:v>Misdirected trade studies and subsystem engineering before design verification.</x:v>
      </x:c>
      <x:c r="AE14" s="27" t="str">
        <x:v>Construction losses or operating accidents requiring later independent design, fabrication or commissioning assurance to fail.</x:v>
      </x:c>
      <x:c r="AF14" s="27"/>
      <x:c r="AG14" s="27" t="str">
        <x:v>No canonical source establishes the receiving design authority, independence of its review, or the loss incurred before that review.</x:v>
      </x:c>
      <x:c r="AH14" s="27"/>
      <x:c r="AI14" s="27"/>
      <x:c r="AJ14" s="27" t="str">
        <x:v>source_or_boundary_evidence_gap;profile_population_and_owner_canonical_approval_not_performed</x:v>
      </x:c>
      <x:c r="AK14" s="27" t="str">
        <x:v>none</x:v>
      </x:c>
      <x:c r="AL14" s="27" t="str">
        <x:v>allowed_for_private_use_staged_wp2_and_public_pilot_only_as_EXPERT-CODED_DRAFT_with_range_confidence_gaps_visible</x:v>
      </x:c>
      <x:c r="AM14" s="33" t="n">
        <x:v>46268</x:v>
      </x:c>
      <x:c r="AN14" s="33" t="n">
        <x:v>46268</x:v>
      </x:c>
      <x:c r="AO14" s="27" t="str">
        <x:v>Identify the receiving design authority, independent review gate and commitments made before that gate.</x:v>
      </x:c>
      <x:c r="AP14" s="27" t="str">
        <x:v>Codex Desktop</x:v>
      </x:c>
      <x:c r="AQ14" s="27" t="str">
        <x:v>gpt-5.6-sol</x:v>
      </x:c>
      <x:c r="AR14" s="27" t="str">
        <x:v>xhigh</x:v>
      </x:c>
      <x:c r="AS14" s="27" t="str">
        <x:v>Adopt the merged domain-review range. Reversible design rework may be cheap or material, and the assumed boundary is not verified.</x:v>
      </x:c>
    </x:row>
    <x:row r="15" ht="320" customHeight="1">
      <x:c r="A15" s="27" t="str">
        <x:v>sp-0015</x:v>
      </x:c>
      <x:c r="B15" s="27" t="str">
        <x:v>simulation</x:v>
      </x:c>
      <x:c r="C15" s="27" t="str">
        <x:v>Simulation</x:v>
      </x:c>
      <x:c r="D15" s="27" t="str">
        <x:v>Fusion, magnetic confinement</x:v>
      </x:c>
      <x:c r="E15" s="27" t="str">
        <x:v>tokamak_research_to_pilot_plant_demonstration</x:v>
      </x:c>
      <x:c r="F15" s="27" t="str">
        <x:v>seed-sp-0015-v1</x:v>
      </x:c>
      <x:c r="G15" s="30" t="n">
        <x:v>4</x:v>
      </x:c>
      <x:c r="H15" s="27"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I15" s="27"/>
      <x:c r="J15" s="27" t="str">
        <x:v>independent-sp-0015-v1</x:v>
      </x:c>
      <x:c r="K15" s="30" t="n">
        <x:v>3</x:v>
      </x:c>
      <x:c r="L15" s="27"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M15" s="27"/>
      <x:c r="N15" s="27" t="str">
        <x:v>one_point_difference</x:v>
      </x:c>
      <x:c r="O15" s="27"/>
      <x:c r="P15" s="27"/>
      <x:c r="Q15" s="27"/>
      <x:c r="R15" s="27"/>
      <x:c r="S15" s="27" t="str">
        <x:v>3</x:v>
      </x:c>
      <x:c r="T15" s="27" t="str">
        <x:v>medium</x:v>
      </x:c>
      <x:c r="U15" s="27" t="str">
        <x:v>recommends_value_change</x:v>
      </x:c>
      <x:c r="V15" s="30" t="n">
        <x:v>3</x:v>
      </x:c>
      <x:c r="W15" s="30"/>
      <x:c r="X15" s="30"/>
      <x:c r="Y15" s="27" t="str">
        <x:v>selected_provisional</x:v>
      </x:c>
      <x:c r="Z15" s="27" t="str">
        <x:v>medium</x:v>
      </x:c>
      <x:c r="AA15" s="27" t="str">
        <x:v>Independent model/use validation before an experiment or engineering output is released.</x:v>
      </x:c>
      <x:c r="AB15" s="27" t="str">
        <x:v>assumed_not_verified</x:v>
      </x:c>
      <x:c r="AC15" s="27" t="str">
        <x:v>The merged domain review marks this boundary assumed_not_verified; named review is required where flagged to test detection, authority, timing, and correlated-failure concerns.</x:v>
      </x:c>
      <x:c r="AD15" s="27" t="str">
        <x:v>Wasted calculations and misdirected immediate design or experiment planning.</x:v>
      </x:c>
      <x:c r="AE15" s="27" t="str">
        <x:v>Machine damage after an independent experiment-release or engineering verification failure; do not charge that damage again here.</x:v>
      </x:c>
      <x:c r="AF15" s="27" t="str">
        <x:v>fusion-src-022;fusion-src-023</x:v>
      </x:c>
      <x:c r="AG15" s="27" t="str">
        <x:v>Canonical sources support narrow simulation use but do not verify the independent model/use-validation boundary or quantify escaped-error loss.</x:v>
      </x:c>
      <x:c r="AH15" s="27"/>
      <x:c r="AI15" s="27"/>
      <x:c r="AJ15" s="27" t="str">
        <x:v>source_or_boundary_evidence_gap;profile_population_and_owner_canonical_approval_not_performed</x:v>
      </x:c>
      <x:c r="AK15" s="27" t="str">
        <x:v>none</x:v>
      </x:c>
      <x:c r="AL15" s="27" t="str">
        <x:v>allowed_for_private_use_staged_wp2_and_public_pilot_only_as_EXPERT-CODED_DRAFT_with_range_confidence_gaps_visible</x:v>
      </x:c>
      <x:c r="AM15" s="33" t="n">
        <x:v>46268</x:v>
      </x:c>
      <x:c r="AN15" s="33" t="n">
        <x:v>46268</x:v>
      </x:c>
      <x:c r="AO15" s="27" t="str">
        <x:v>Verify the independent model validation and experiment-release gates for the intended use.</x:v>
      </x:c>
      <x:c r="AP15" s="27" t="str">
        <x:v>Codex Desktop</x:v>
      </x:c>
      <x:c r="AQ15" s="27" t="str">
        <x:v>gpt-5.6-sol</x:v>
      </x:c>
      <x:c r="AR15" s="27" t="str">
        <x:v>xhigh</x:v>
      </x:c>
      <x:c r="AS15" s="27" t="str">
        <x:v>Select the merged domain-review point 3: reruns are reversible, but a wrong output can directly misdirect immediate work before independent use validation.</x:v>
      </x:c>
    </x:row>
    <x:row r="16" ht="320" customHeight="1">
      <x:c r="A16" s="27" t="str">
        <x:v>sp-0020</x:v>
      </x:c>
      <x:c r="B16" s="27" t="str">
        <x:v>materials_qualification</x:v>
      </x:c>
      <x:c r="C16" s="27" t="str">
        <x:v>Materials qualification</x:v>
      </x:c>
      <x:c r="D16" s="27" t="str">
        <x:v>Fusion, magnetic confinement</x:v>
      </x:c>
      <x:c r="E16" s="27" t="str">
        <x:v>tokamak_research_to_pilot_plant_demonstration</x:v>
      </x:c>
      <x:c r="F16" s="27" t="str">
        <x:v>seed-sp-0020-v1</x:v>
      </x:c>
      <x:c r="G16" s="30" t="n">
        <x:v>1</x:v>
      </x:c>
      <x:c r="H16" s="27"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I16" s="27"/>
      <x:c r="J16" s="27" t="str">
        <x:v>independent-sp-0020-v1</x:v>
      </x:c>
      <x:c r="K16" s="30" t="n">
        <x:v>0</x:v>
      </x:c>
      <x:c r="L16" s="27"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M16" s="27"/>
      <x:c r="N16" s="27" t="str">
        <x:v>one_point_difference</x:v>
      </x:c>
      <x:c r="O16" s="27"/>
      <x:c r="P16" s="27"/>
      <x:c r="Q16" s="27"/>
      <x:c r="R16" s="27"/>
      <x:c r="S16" s="27" t="str">
        <x:v>0-1</x:v>
      </x:c>
      <x:c r="T16" s="27" t="str">
        <x:v>low</x:v>
      </x:c>
      <x:c r="U16" s="27" t="str">
        <x:v>requires_human_expert</x:v>
      </x:c>
      <x:c r="V16" s="30"/>
      <x:c r="W16" s="30" t="n">
        <x:v>0</x:v>
      </x:c>
      <x:c r="X16" s="30" t="n">
        <x:v>1</x:v>
      </x:c>
      <x:c r="Y16" s="27" t="str">
        <x:v>preserved_range</x:v>
      </x:c>
      <x:c r="Z16" s="27" t="str">
        <x:v>low</x:v>
      </x:c>
      <x:c r="AA16" s="27" t="str">
        <x:v>Independent component-design/material acceptance before a qualification claim authorizes manufacture or service.</x:v>
      </x:c>
      <x:c r="AB16" s="27" t="str">
        <x:v>assumed_not_verified</x:v>
      </x:c>
      <x:c r="AC16" s="27" t="str">
        <x:v>The merged domain review marks this boundary assumed_not_verified; named review is required where flagged to test detection, authority, timing, and correlated-failure concerns.</x:v>
      </x:c>
      <x:c r="AD16" s="27" t="str">
        <x:v>Irrecoverable irradiation/examination loss and wrong immediate acceptance inputs before independent review.</x:v>
      </x:c>
      <x:c r="AE16" s="27" t="str">
        <x:v>Plant accidents requiring independent component acceptance, fabrication, commissioning or operating safeguards to fail.</x:v>
      </x:c>
      <x:c r="AF16" s="27" t="str">
        <x:v>fusion-src-045;fusion-src-046</x:v>
      </x:c>
      <x:c r="AG16" s="27" t="str">
        <x:v>gap-02 remains open: planned irradiation and examination do not establish completed accepted qualification or a verified independent material-acceptance boundary.</x:v>
      </x:c>
      <x:c r="AH16" s="27" t="str">
        <x:v>gap-02</x:v>
      </x:c>
      <x:c r="AI16" s="27" t="str">
        <x:v>EXP-FUS-02</x:v>
      </x:c>
      <x:c r="AJ16" s="27" t="str">
        <x:v>pending_named_expert;source_or_boundary_evidence_gap;profile_population_and_owner_canonical_approval_not_performed</x:v>
      </x:c>
      <x:c r="AK16" s="27" t="str">
        <x:v>none</x:v>
      </x:c>
      <x:c r="AL16" s="27" t="str">
        <x:v>allowed_for_private_use_staged_wp2_and_public_pilot_only_as_EXPERT-CODED_DRAFT_with_range_confidence_gaps_visible</x:v>
      </x:c>
      <x:c r="AM16" s="33" t="n">
        <x:v>46268</x:v>
      </x:c>
      <x:c r="AN16" s="33" t="n">
        <x:v>46268</x:v>
      </x:c>
      <x:c r="AO16" s="27" t="str">
        <x:v>An accepted qualification plan specifying responsibility, independent acceptance checks and the consequences of invalid irradiation/examination data.</x:v>
      </x:c>
      <x:c r="AP16" s="27" t="str">
        <x:v>Codex Desktop</x:v>
      </x:c>
      <x:c r="AQ16" s="27" t="str">
        <x:v>gpt-5.6-sol</x:v>
      </x:c>
      <x:c r="AR16" s="27" t="str">
        <x:v>xhigh</x:v>
      </x:c>
      <x:c r="AS16" s="27" t="str">
        <x:v>Preserve the merged 0-1 range pending named qualification review; do not treat a correctly failed specimen as an erroneous stage output or import later plant accidents.</x:v>
      </x:c>
    </x:row>
    <x:row r="17" ht="320" customHeight="1">
      <x:c r="A17" s="27" t="str">
        <x:v>sp-0023</x:v>
      </x:c>
      <x:c r="B17" s="27" t="str">
        <x:v>plasma_facing_components</x:v>
      </x:c>
      <x:c r="C17" s="27" t="str">
        <x:v>Plasma-facing components</x:v>
      </x:c>
      <x:c r="D17" s="27" t="str">
        <x:v>Fusion, magnetic confinement</x:v>
      </x:c>
      <x:c r="E17" s="27" t="str">
        <x:v>tokamak_research_to_pilot_plant_demonstration</x:v>
      </x:c>
      <x:c r="F17" s="27" t="str">
        <x:v>seed-sp-0023-v1</x:v>
      </x:c>
      <x:c r="G17" s="30" t="n">
        <x:v>2</x:v>
      </x:c>
      <x:c r="H17" s="27"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I17" s="27"/>
      <x:c r="J17" s="27" t="str">
        <x:v>independent-sp-0023-v1</x:v>
      </x:c>
      <x:c r="K17" s="30" t="n">
        <x:v>1</x:v>
      </x:c>
      <x:c r="L17" s="27"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M17" s="27"/>
      <x:c r="N17" s="27" t="str">
        <x:v>one_point_difference</x:v>
      </x:c>
      <x:c r="O17" s="27"/>
      <x:c r="P17" s="27"/>
      <x:c r="Q17" s="27"/>
      <x:c r="R17" s="27"/>
      <x:c r="S17" s="27" t="str">
        <x:v>1-2</x:v>
      </x:c>
      <x:c r="T17" s="27" t="str">
        <x:v>low</x:v>
      </x:c>
      <x:c r="U17" s="27" t="str">
        <x:v>requires_human_expert</x:v>
      </x:c>
      <x:c r="V17" s="30"/>
      <x:c r="W17" s="30" t="n">
        <x:v>1</x:v>
      </x:c>
      <x:c r="X17" s="30" t="n">
        <x:v>2</x:v>
      </x:c>
      <x:c r="Y17" s="27" t="str">
        <x:v>preserved_range</x:v>
      </x:c>
      <x:c r="Z17" s="27" t="str">
        <x:v>low</x:v>
      </x:c>
      <x:c r="AA17" s="27" t="str">
        <x:v>Independent PFC design/test acceptance and receiving test-stand protection before integrated commissioning.</x:v>
      </x:c>
      <x:c r="AB17" s="27" t="str">
        <x:v>assumed_not_verified</x:v>
      </x:c>
      <x:c r="AC17" s="27" t="str">
        <x:v>The merged domain review marks this boundary assumed_not_verified; named review is required where flagged to test detection, authority, timing, and correlated-failure concerns.</x:v>
      </x:c>
      <x:c r="AD17" s="27" t="str">
        <x:v>Lost mock-ups, invalid exposure data and test-equipment consequences before independent acceptance/protection.</x:v>
      </x:c>
      <x:c r="AE17" s="27" t="str">
        <x:v>Operating-plant contamination or damage requiring later independent integration and commissioning checks to fail.</x:v>
      </x:c>
      <x:c r="AF17" s="27" t="str">
        <x:v>fusion-src-026</x:v>
      </x:c>
      <x:c r="AG17" s="27" t="str">
        <x:v>gap-03 remains open: planned exposure capability does not establish combined-environment qualification or a verified PFC acceptance/protection boundary.</x:v>
      </x:c>
      <x:c r="AH17" s="27" t="str">
        <x:v>gap-03</x:v>
      </x:c>
      <x:c r="AI17" s="27" t="str">
        <x:v>EXP-FUS-02</x:v>
      </x:c>
      <x:c r="AJ17" s="27" t="str">
        <x:v>pending_named_expert;source_or_boundary_evidence_gap;profile_population_and_owner_canonical_approval_not_performed</x:v>
      </x:c>
      <x:c r="AK17" s="27" t="str">
        <x:v>none</x:v>
      </x:c>
      <x:c r="AL17" s="27" t="str">
        <x:v>allowed_for_private_use_staged_wp2_and_public_pilot_only_as_EXPERT-CODED_DRAFT_with_range_confidence_gaps_visible</x:v>
      </x:c>
      <x:c r="AM17" s="33" t="n">
        <x:v>46268</x:v>
      </x:c>
      <x:c r="AN17" s="33" t="n">
        <x:v>46268</x:v>
      </x:c>
      <x:c r="AO17" s="27" t="str">
        <x:v>An independently reviewed PFC development acceptance and test-stand protection plan.</x:v>
      </x:c>
      <x:c r="AP17" s="27" t="str">
        <x:v>Codex Desktop</x:v>
      </x:c>
      <x:c r="AQ17" s="27" t="str">
        <x:v>gpt-5.6-sol</x:v>
      </x:c>
      <x:c r="AR17" s="27" t="str">
        <x:v>xhigh</x:v>
      </x:c>
      <x:c r="AS17" s="27" t="str">
        <x:v>Preserve the merged 1-2 range pending named PFC assurance review; the record does not resolve test-article loss versus later operating harm.</x:v>
      </x:c>
    </x:row>
    <x:row r="18" ht="320" customHeight="1">
      <x:c r="A18" s="27" t="str">
        <x:v>sp-0024</x:v>
      </x:c>
      <x:c r="B18" s="27" t="str">
        <x:v>tritium_and_fuel_cycle</x:v>
      </x:c>
      <x:c r="C18" s="27" t="str">
        <x:v>Tritium and fuel cycle</x:v>
      </x:c>
      <x:c r="D18" s="27" t="str">
        <x:v>Fusion, magnetic confinement</x:v>
      </x:c>
      <x:c r="E18" s="27" t="str">
        <x:v>tokamak_research_to_pilot_plant_demonstration</x:v>
      </x:c>
      <x:c r="F18" s="27" t="str">
        <x:v>seed-sp-0024-v1</x:v>
      </x:c>
      <x:c r="G18" s="30" t="n">
        <x:v>1</x:v>
      </x:c>
      <x:c r="H18" s="27"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I18" s="27"/>
      <x:c r="J18" s="27" t="str">
        <x:v>independent-sp-0024-v1</x:v>
      </x:c>
      <x:c r="K18" s="30" t="n">
        <x:v>0</x:v>
      </x:c>
      <x:c r="L18" s="27"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M18" s="27"/>
      <x:c r="N18" s="27" t="str">
        <x:v>one_point_difference</x:v>
      </x:c>
      <x:c r="O18" s="27" t="str">
        <x:v>exc-sp-0024-s5</x:v>
      </x:c>
      <x:c r="P18" s="27" t="str">
        <x:v>prefer_seed</x:v>
      </x:c>
      <x:c r="Q18" s="27" t="str">
        <x:v>Select S5=1. Tritium-accountancy, containment or release errors can have serious radiological and regulatory consequences, but development-stage work is conducted through layered containment and many errors remain detectable and recoverable. S5=0 overgeneralizes the worst case to every error.</x:v>
      </x:c>
      <x:c r="R18" s="27" t="str">
        <x:v>owner_preference_recorded</x:v>
      </x:c>
      <x:c r="S18" s="27" t="str">
        <x:v>1</x:v>
      </x:c>
      <x:c r="T18" s="27" t="str">
        <x:v>low</x:v>
      </x:c>
      <x:c r="U18" s="27" t="str">
        <x:v>requires_human_expert</x:v>
      </x:c>
      <x:c r="V18" s="30" t="n">
        <x:v>1</x:v>
      </x:c>
      <x:c r="W18" s="30"/>
      <x:c r="X18" s="30"/>
      <x:c r="Y18" s="27" t="str">
        <x:v>selected_provisional_pending_named_expert</x:v>
      </x:c>
      <x:c r="Z18" s="27" t="str">
        <x:v>low</x:v>
      </x:c>
      <x:c r="AA18" s="27" t="str">
        <x:v>Independent secondary confinement/isolation and separately verified inventory or release monitoring.</x:v>
      </x:c>
      <x:c r="AB18" s="27" t="str">
        <x:v>assumed_not_verified</x:v>
      </x:c>
      <x:c r="AC18" s="27" t="str">
        <x:v>The merged domain review marks this boundary assumed_not_verified; named review is required where flagged to test detection, authority, timing, and correlated-failure concerns.</x:v>
      </x:c>
      <x:c r="AD18" s="27" t="str">
        <x:v>Tritium loss, local contamination and invalid inventory results before independent containment/monitoring.</x:v>
      </x:c>
      <x:c r="AE18" s="27" t="str">
        <x:v>Remote public or plant-wide cascades requiring additional independent confinement or operating failures.</x:v>
      </x:c>
      <x:c r="AF18" s="27" t="str">
        <x:v>fusion-src-038;fusion-src-028</x:v>
      </x:c>
      <x:c r="AG18" s="27" t="str">
        <x:v>gap-04 remains open: no integrated self-sufficient fuel-cycle result or verified development confinement/accountancy boundary exists.</x:v>
      </x:c>
      <x:c r="AH18" s="27" t="str">
        <x:v>gap-04</x:v>
      </x:c>
      <x:c r="AI18" s="27" t="str">
        <x:v>EXP-FUS-03</x:v>
      </x:c>
      <x:c r="AJ18" s="27" t="str">
        <x:v>pending_named_expert;source_or_boundary_evidence_gap;profile_population_and_owner_canonical_approval_not_performed</x:v>
      </x:c>
      <x:c r="AK18" s="27" t="str">
        <x:v>none</x:v>
      </x:c>
      <x:c r="AL18" s="27" t="str">
        <x:v>allowed_for_private_use_staged_wp2_and_public_pilot_only_as_EXPERT-CODED_DRAFT_with_range_confidence_gaps_visible</x:v>
      </x:c>
      <x:c r="AM18" s="33" t="n">
        <x:v>46268</x:v>
      </x:c>
      <x:c r="AN18" s="33" t="n">
        <x:v>46268</x:v>
      </x:c>
      <x:c r="AO18" s="27" t="str">
        <x:v>A development-loop inventory, release envelope and independent confinement/accountancy assurance analysis.</x:v>
      </x:c>
      <x:c r="AP18" s="27" t="str">
        <x:v>Codex Desktop</x:v>
      </x:c>
      <x:c r="AQ18" s="27" t="str">
        <x:v>gpt-5.6-sol</x:v>
      </x:c>
      <x:c r="AR18" s="27" t="str">
        <x:v>xhigh</x:v>
      </x:c>
      <x:c r="AS18" s="27" t="str">
        <x:v>Select the owner-preferred and domain-reviewed point 1 provisionally; serious local loss or contamination is bounded by assumed secondary controls, which still require named review.</x:v>
      </x:c>
    </x:row>
    <x:row r="19" ht="320" customHeight="1">
      <x:c r="A19" s="27" t="str">
        <x:v>sp-0025</x:v>
      </x:c>
      <x:c r="B19" s="27" t="str">
        <x:v>blankets</x:v>
      </x:c>
      <x:c r="C19" s="27" t="str">
        <x:v>Blankets</x:v>
      </x:c>
      <x:c r="D19" s="27" t="str">
        <x:v>Fusion, magnetic confinement</x:v>
      </x:c>
      <x:c r="E19" s="27" t="str">
        <x:v>tokamak_research_to_pilot_plant_demonstration</x:v>
      </x:c>
      <x:c r="F19" s="27" t="str">
        <x:v>seed-sp-0025-v1</x:v>
      </x:c>
      <x:c r="G19" s="30" t="n">
        <x:v>1</x:v>
      </x:c>
      <x:c r="H19" s="27"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I19" s="27"/>
      <x:c r="J19" s="27" t="str">
        <x:v>independent-sp-0025-v1</x:v>
      </x:c>
      <x:c r="K19" s="30" t="n">
        <x:v>0</x:v>
      </x:c>
      <x:c r="L19" s="27"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M19" s="27"/>
      <x:c r="N19" s="27" t="str">
        <x:v>one_point_difference</x:v>
      </x:c>
      <x:c r="O19" s="27" t="str">
        <x:v>exc-sp-0025-s5</x:v>
      </x:c>
      <x:c r="P19" s="27" t="str">
        <x:v>prefer_seed</x:v>
      </x:c>
      <x:c r="Q19" s="27" t="str">
        <x:v>Select S5=1. Blanket errors can affect heat removal, tritium functions and radiological safety, but the scoped stage is design, testing and pre-integration, where staged experiments and review contain many failures. The consequences are very serious without making every error catastrophic or irreversible.</x:v>
      </x:c>
      <x:c r="R19" s="27" t="str">
        <x:v>owner_preference_recorded</x:v>
      </x:c>
      <x:c r="S19" s="27" t="str">
        <x:v>1</x:v>
      </x:c>
      <x:c r="T19" s="27" t="str">
        <x:v>low</x:v>
      </x:c>
      <x:c r="U19" s="27" t="str">
        <x:v>requires_human_expert</x:v>
      </x:c>
      <x:c r="V19" s="30" t="n">
        <x:v>1</x:v>
      </x:c>
      <x:c r="W19" s="30"/>
      <x:c r="X19" s="30"/>
      <x:c r="Y19" s="27" t="str">
        <x:v>selected_provisional_pending_named_expert</x:v>
      </x:c>
      <x:c r="Z19" s="27" t="str">
        <x:v>low</x:v>
      </x:c>
      <x:c r="AA19" s="27" t="str">
        <x:v>Independent test-module isolation/protection and subsequent blanket integration acceptance.</x:v>
      </x:c>
      <x:c r="AB19" s="27" t="str">
        <x:v>assumed_not_verified</x:v>
      </x:c>
      <x:c r="AC19" s="27" t="str">
        <x:v>The merged domain review marks this boundary assumed_not_verified; named review is required where flagged to test detection, authority, timing, and correlated-failure concerns.</x:v>
      </x:c>
      <x:c r="AD19" s="27" t="str">
        <x:v>Test-article damage, invalid breeding/thermal evidence and local material-release consequences before independent protection.</x:v>
      </x:c>
      <x:c r="AE19" s="27" t="str">
        <x:v>Later plant heat-removal or fuel-cycle cascades requiring additional independent integration or operating failures.</x:v>
      </x:c>
      <x:c r="AF19" s="27" t="str">
        <x:v>fusion-src-038;fusion-src-028</x:v>
      </x:c>
      <x:c r="AG19" s="27" t="str">
        <x:v>gap-05 remains open: future TBM plans do not establish qualified integrated blanket performance or a concept-specific independent test boundary.</x:v>
      </x:c>
      <x:c r="AH19" s="27" t="str">
        <x:v>gap-05</x:v>
      </x:c>
      <x:c r="AI19" s="27" t="str">
        <x:v>EXP-FUS-03</x:v>
      </x:c>
      <x:c r="AJ19" s="27" t="str">
        <x:v>pending_named_expert;source_or_boundary_evidence_gap;profile_population_and_owner_canonical_approval_not_performed</x:v>
      </x:c>
      <x:c r="AK19" s="27" t="str">
        <x:v>none</x:v>
      </x:c>
      <x:c r="AL19" s="27" t="str">
        <x:v>allowed_for_private_use_staged_wp2_and_public_pilot_only_as_EXPERT-CODED_DRAFT_with_range_confidence_gaps_visible</x:v>
      </x:c>
      <x:c r="AM19" s="33" t="n">
        <x:v>46268</x:v>
      </x:c>
      <x:c r="AN19" s="33" t="n">
        <x:v>46268</x:v>
      </x:c>
      <x:c r="AO19" s="27" t="str">
        <x:v>Concept-specific development hazard analysis and independent test/acceptance boundaries.</x:v>
      </x:c>
      <x:c r="AP19" s="27" t="str">
        <x:v>Codex Desktop</x:v>
      </x:c>
      <x:c r="AQ19" s="27" t="str">
        <x:v>gpt-5.6-sol</x:v>
      </x:c>
      <x:c r="AR19" s="27" t="str">
        <x:v>xhigh</x:v>
      </x:c>
      <x:c r="AS19" s="27" t="str">
        <x:v>Select the owner-preferred and domain-reviewed point 1 provisionally; direct test harm is serious but later plant cascades require separate failures.</x:v>
      </x:c>
    </x:row>
    <x:row r="20" ht="320" customHeight="1">
      <x:c r="A20" s="27" t="str">
        <x:v>sp-0028</x:v>
      </x:c>
      <x:c r="B20" s="27" t="str">
        <x:v>commissioning</x:v>
      </x:c>
      <x:c r="C20" s="27" t="str">
        <x:v>Commissioning</x:v>
      </x:c>
      <x:c r="D20" s="27" t="str">
        <x:v>Fusion, magnetic confinement</x:v>
      </x:c>
      <x:c r="E20" s="27" t="str">
        <x:v>tokamak_research_to_pilot_plant_demonstration</x:v>
      </x:c>
      <x:c r="F20" s="27" t="str">
        <x:v>seed-sp-0028-v1</x:v>
      </x:c>
      <x:c r="G20" s="30" t="n">
        <x:v>1</x:v>
      </x:c>
      <x:c r="H20" s="27"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I20" s="27"/>
      <x:c r="J20" s="27" t="str">
        <x:v>independent-sp-0028-v1</x:v>
      </x:c>
      <x:c r="K20" s="30" t="n">
        <x:v>0</x:v>
      </x:c>
      <x:c r="L20" s="27"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M20" s="27"/>
      <x:c r="N20" s="27" t="str">
        <x:v>one_point_difference</x:v>
      </x:c>
      <x:c r="O20" s="27" t="str">
        <x:v>exc-sp-0028-s5</x:v>
      </x:c>
      <x:c r="P20" s="27" t="str">
        <x:v>prefer_seed</x:v>
      </x:c>
      <x:c r="Q20" s="27" t="str">
        <x:v>Select S5=1. Commissioning mistakes can damage unique installed hardware and create serious hazards, yet commissioning is deliberately staged, interlocked and reversible where practicable. The stage is low-tolerance, but S5=0 treats the severe tail as the ordinary error consequence.</x:v>
      </x:c>
      <x:c r="R20" s="27" t="str">
        <x:v>owner_preference_recorded</x:v>
      </x:c>
      <x:c r="S20" s="27" t="str">
        <x:v>1</x:v>
      </x:c>
      <x:c r="T20" s="27" t="str">
        <x:v>low</x:v>
      </x:c>
      <x:c r="U20" s="27" t="str">
        <x:v>requires_human_expert</x:v>
      </x:c>
      <x:c r="V20" s="30" t="n">
        <x:v>1</x:v>
      </x:c>
      <x:c r="W20" s="30"/>
      <x:c r="X20" s="30"/>
      <x:c r="Y20" s="27" t="str">
        <x:v>selected_provisional_pending_named_expert</x:v>
      </x:c>
      <x:c r="Z20" s="27" t="str">
        <x:v>low</x:v>
      </x:c>
      <x:c r="AA20" s="27" t="str">
        <x:v>Independent startup interlocks and readiness-release hold points before the next energization/inventory step.</x:v>
      </x:c>
      <x:c r="AB20" s="27" t="str">
        <x:v>assumed_not_verified</x:v>
      </x:c>
      <x:c r="AC20" s="27" t="str">
        <x:v>The merged domain review marks this boundary assumed_not_verified; named review is required where flagged to test detection, authority, timing, and correlated-failure concerns.</x:v>
      </x:c>
      <x:c r="AD20" s="27" t="str">
        <x:v>Installed-equipment damage or local safety exposure before the independent startup controls act.</x:v>
      </x:c>
      <x:c r="AE20" s="27" t="str">
        <x:v>Subsequent reliability or operating accidents requiring separate independent readiness/operating failures.</x:v>
      </x:c>
      <x:c r="AF20" s="27" t="str">
        <x:v>fusion-src-033;fusion-src-034;fusion-src-036</x:v>
      </x:c>
      <x:c r="AG20" s="27" t="str">
        <x:v>gap-06 remains open: research-device milestones do not establish nuclear/tritium commissioning performance or independently verified pilot interlocks.</x:v>
      </x:c>
      <x:c r="AH20" s="27" t="str">
        <x:v>gap-06</x:v>
      </x:c>
      <x:c r="AI20" s="27" t="str">
        <x:v>EXP-FUS-04</x:v>
      </x:c>
      <x:c r="AJ20" s="27" t="str">
        <x:v>pending_named_expert;source_or_boundary_evidence_gap;profile_population_and_owner_canonical_approval_not_performed</x:v>
      </x:c>
      <x:c r="AK20" s="27" t="str">
        <x:v>none</x:v>
      </x:c>
      <x:c r="AL20" s="27" t="str">
        <x:v>allowed_for_private_use_staged_wp2_and_public_pilot_only_as_EXPERT-CODED_DRAFT_with_range_confidence_gaps_visible</x:v>
      </x:c>
      <x:c r="AM20" s="33" t="n">
        <x:v>46268</x:v>
      </x:c>
      <x:c r="AN20" s="33" t="n">
        <x:v>46268</x:v>
      </x:c>
      <x:c r="AO20" s="27" t="str">
        <x:v>A pilot commissioning safety case with independently verified interlocks and release hold points.</x:v>
      </x:c>
      <x:c r="AP20" s="27" t="str">
        <x:v>Codex Desktop</x:v>
      </x:c>
      <x:c r="AQ20" s="27" t="str">
        <x:v>gpt-5.6-sol</x:v>
      </x:c>
      <x:c r="AR20" s="27" t="str">
        <x:v>xhigh</x:v>
      </x:c>
      <x:c r="AS20" s="27" t="str">
        <x:v>Select the owner-preferred and domain-reviewed point 1 provisionally; correctly discovered faults are informative, while erroneous startup can damage installed hardware before assumed controls act.</x:v>
      </x:c>
    </x:row>
    <x:row r="21" ht="320" customHeight="1">
      <x:c r="A21" s="27" t="str">
        <x:v>sp-0029</x:v>
      </x:c>
      <x:c r="B21" s="27" t="str">
        <x:v>reliability_demonstration</x:v>
      </x:c>
      <x:c r="C21" s="27" t="str">
        <x:v>Reliability demonstration</x:v>
      </x:c>
      <x:c r="D21" s="27" t="str">
        <x:v>Fusion, magnetic confinement</x:v>
      </x:c>
      <x:c r="E21" s="27" t="str">
        <x:v>tokamak_research_to_pilot_plant_demonstration</x:v>
      </x:c>
      <x:c r="F21" s="27" t="str">
        <x:v>seed-sp-0029-v1</x:v>
      </x:c>
      <x:c r="G21" s="30" t="n">
        <x:v>1</x:v>
      </x:c>
      <x:c r="H21" s="27"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I21" s="27"/>
      <x:c r="J21" s="27" t="str">
        <x:v>independent-sp-0029-v1</x:v>
      </x:c>
      <x:c r="K21" s="30" t="n">
        <x:v>0</x:v>
      </x:c>
      <x:c r="L21" s="27"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M21" s="27"/>
      <x:c r="N21" s="27" t="str">
        <x:v>one_point_difference</x:v>
      </x:c>
      <x:c r="O21" s="27" t="str">
        <x:v>exc-sp-0029-s5</x:v>
      </x:c>
      <x:c r="P21" s="27" t="str">
        <x:v>prefer_seed</x:v>
      </x:c>
      <x:c r="Q21" s="27" t="str">
        <x:v>Select S5=1. Component failures are the phenomenon reliability demonstration is designed to reveal and should not automatically be treated as errors by the stage. Errors in test conduct or inference can still waste irreplaceable operating time, so the stage remains low-tolerance rather than catastrophic by definition.</x:v>
      </x:c>
      <x:c r="R21" s="27" t="str">
        <x:v>owner_preference_recorded</x:v>
      </x:c>
      <x:c r="S21" s="27" t="str">
        <x:v>1</x:v>
      </x:c>
      <x:c r="T21" s="27" t="str">
        <x:v>low</x:v>
      </x:c>
      <x:c r="U21" s="27" t="str">
        <x:v>requires_human_expert</x:v>
      </x:c>
      <x:c r="V21" s="30" t="n">
        <x:v>1</x:v>
      </x:c>
      <x:c r="W21" s="30"/>
      <x:c r="X21" s="30"/>
      <x:c r="Y21" s="27" t="str">
        <x:v>selected_provisional_pending_named_expert</x:v>
      </x:c>
      <x:c r="Z21" s="27" t="str">
        <x:v>low</x:v>
      </x:c>
      <x:c r="AA21" s="27" t="str">
        <x:v>Independent machine protection during the test and independent reliability-evidence/readiness acceptance before operational release.</x:v>
      </x:c>
      <x:c r="AB21" s="27" t="str">
        <x:v>assumed_not_verified</x:v>
      </x:c>
      <x:c r="AC21" s="27" t="str">
        <x:v>The merged domain review marks this boundary assumed_not_verified; named review is required where flagged to test detection, authority, timing, and correlated-failure concerns.</x:v>
      </x:c>
      <x:c r="AD21" s="27" t="str">
        <x:v>Invalidated operating evidence, unsafe test conduct and false readiness inputs before independent acceptance/protection.</x:v>
      </x:c>
      <x:c r="AE21" s="27" t="str">
        <x:v>Ordinary informative component failures; later operating cascades needing an independent readiness or safety failure.</x:v>
      </x:c>
      <x:c r="AF21" s="27"/>
      <x:c r="AG21" s="27" t="str">
        <x:v>gap-07 remains open: no commercial reliability or availability result, accepted protocol, or verified readiness/protection boundary exists.</x:v>
      </x:c>
      <x:c r="AH21" s="27" t="str">
        <x:v>gap-07</x:v>
      </x:c>
      <x:c r="AI21" s="27" t="str">
        <x:v>EXP-FUS-04</x:v>
      </x:c>
      <x:c r="AJ21" s="27" t="str">
        <x:v>pending_named_expert;source_or_boundary_evidence_gap;profile_population_and_owner_canonical_approval_not_performed</x:v>
      </x:c>
      <x:c r="AK21" s="27" t="str">
        <x:v>none</x:v>
      </x:c>
      <x:c r="AL21" s="27" t="str">
        <x:v>allowed_for_private_use_staged_wp2_and_public_pilot_only_as_EXPERT-CODED_DRAFT_with_range_confidence_gaps_visible</x:v>
      </x:c>
      <x:c r="AM21" s="33" t="n">
        <x:v>46268</x:v>
      </x:c>
      <x:c r="AN21" s="33" t="n">
        <x:v>46268</x:v>
      </x:c>
      <x:c r="AO21" s="27" t="str">
        <x:v>A reliability test/acceptance plan with independent data validation, readiness review and machine protection.</x:v>
      </x:c>
      <x:c r="AP21" s="27" t="str">
        <x:v>Codex Desktop</x:v>
      </x:c>
      <x:c r="AQ21" s="27" t="str">
        <x:v>gpt-5.6-sol</x:v>
      </x:c>
      <x:c r="AR21" s="27" t="str">
        <x:v>xhigh</x:v>
      </x:c>
      <x:c r="AS21" s="27" t="str">
        <x:v>Select the owner-preferred and domain-reviewed point 1 provisionally; informative component failure is excluded, while erroneous test conduct or inference can waste irrecoverable evidence.</x:v>
      </x:c>
    </x:row>
    <x:row r="22" ht="320" customHeight="1">
      <x:c r="A22" s="27" t="str">
        <x:v>sp-0030</x:v>
      </x:c>
      <x:c r="B22" s="27" t="str">
        <x:v>licensing</x:v>
      </x:c>
      <x:c r="C22" s="27" t="str">
        <x:v>Licensing</x:v>
      </x:c>
      <x:c r="D22" s="27" t="str">
        <x:v>Fusion, magnetic confinement</x:v>
      </x:c>
      <x:c r="E22" s="27" t="str">
        <x:v>tokamak_research_to_pilot_plant_demonstration</x:v>
      </x:c>
      <x:c r="F22" s="27" t="str">
        <x:v>seed-sp-0030-v1</x:v>
      </x:c>
      <x:c r="G22" s="30" t="n">
        <x:v>2</x:v>
      </x:c>
      <x:c r="H22" s="27"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I22" s="27"/>
      <x:c r="J22" s="27" t="str">
        <x:v>independent-sp-0030-v1</x:v>
      </x:c>
      <x:c r="K22" s="30" t="n">
        <x:v>0</x:v>
      </x:c>
      <x:c r="L22" s="27"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M22" s="27"/>
      <x:c r="N22" s="27" t="str">
        <x:v>difference_ge_2</x:v>
      </x:c>
      <x:c r="O22" s="27" t="str">
        <x:v>exc-sp-0030-s5</x:v>
      </x:c>
      <x:c r="P22" s="27" t="str">
        <x:v>preserve_disagreement</x:v>
      </x:c>
      <x:c r="Q22" s="27" t="str">
        <x:v>Preserve the 0-2 disagreement pending the S5 clarification and regulatory domain review. An erroneous approval can have grave downstream consequences, so S5=2 is too permissive; however, harm also requires operation and additional conditions, so S5=0 is too absolute. A later adjudicated value may be 1, but it should not be manufactured from two model submissions.</x:v>
      </x:c>
      <x:c r="R22" s="27" t="str">
        <x:v>unresolved</x:v>
      </x:c>
      <x:c r="S22" s="27" t="str">
        <x:v>0-2</x:v>
      </x:c>
      <x:c r="T22" s="27" t="str">
        <x:v>low</x:v>
      </x:c>
      <x:c r="U22" s="27" t="str">
        <x:v>requires_human_expert</x:v>
      </x:c>
      <x:c r="V22" s="30"/>
      <x:c r="W22" s="30" t="n">
        <x:v>0</x:v>
      </x:c>
      <x:c r="X22" s="30" t="n">
        <x:v>2</x:v>
      </x:c>
      <x:c r="Y22" s="27" t="str">
        <x:v>preserved_disagreement</x:v>
      </x:c>
      <x:c r="Z22" s="27" t="str">
        <x:v>low</x:v>
      </x:c>
      <x:c r="AA22" s="27" t="str">
        <x:v>Jurisdiction-specific independent operating-readiness authorization or technical protection after licence decision; existence/independence unresolved.</x:v>
      </x:c>
      <x:c r="AB22" s="27" t="str">
        <x:v>assumed_not_verified</x:v>
      </x:c>
      <x:c r="AC22" s="27" t="str">
        <x:v>The merged domain review marks this boundary assumed_not_verified; named review is required where flagged to test detection, authority, timing, and correlated-failure concerns.</x:v>
      </x:c>
      <x:c r="AD22" s="27" t="str">
        <x:v>Unsafe authorization, unjustified restrictions and serious rework before a verified independent operating boundary.</x:v>
      </x:c>
      <x:c r="AE22" s="27" t="str">
        <x:v>Remote plant/public harm that requires a separate independent operational safety failure; no assumed universal boundary.</x:v>
      </x:c>
      <x:c r="AF22" s="27" t="str">
        <x:v>fusion-src-039;fusion-src-040;fusion-src-004</x:v>
      </x:c>
      <x:c r="AG22" s="27" t="str">
        <x:v>gap-08 remains open: legal status is known, but no comparable completed licensing case or verified jurisdiction-specific post-licence independent boundary exists.</x:v>
      </x:c>
      <x:c r="AH22" s="27" t="str">
        <x:v>gap-08</x:v>
      </x:c>
      <x:c r="AI22" s="27" t="str">
        <x:v>EXP-FUS-05</x:v>
      </x:c>
      <x:c r="AJ22" s="27" t="str">
        <x:v>pending_named_expert;source_or_boundary_evidence_gap;profile_population_and_owner_canonical_approval_not_performed</x:v>
      </x:c>
      <x:c r="AK22" s="27" t="str">
        <x:v>none</x:v>
      </x:c>
      <x:c r="AL22" s="27" t="str">
        <x:v>allowed_for_private_use_staged_wp2_and_public_pilot_only_as_EXPERT-CODED_DRAFT_with_range_confidence_gaps_visible</x:v>
      </x:c>
      <x:c r="AM22" s="33" t="n">
        <x:v>46268</x:v>
      </x:c>
      <x:c r="AN22" s="33" t="n">
        <x:v>46268</x:v>
      </x:c>
      <x:c r="AO22" s="27" t="str">
        <x:v>A jurisdiction-specific licence/safety-case example identifying the next independent operating authorization and direct escaped consequences.</x:v>
      </x:c>
      <x:c r="AP22" s="27" t="str">
        <x:v>Codex Desktop</x:v>
      </x:c>
      <x:c r="AQ22" s="27" t="str">
        <x:v>gpt-5.6-sol</x:v>
      </x:c>
      <x:c r="AR22" s="27" t="str">
        <x:v>xhigh</x:v>
      </x:c>
      <x:c r="AS22" s="27" t="str">
        <x:v>Preserve the owner's 0-2 disagreement and the domain-review recommendation. Do not manufacture 1 as midpoint consensus across materially different boundary interpretations.</x:v>
      </x:c>
    </x:row>
    <x:row r="23" ht="320" customHeight="1">
      <x:c r="A23" s="28" t="str">
        <x:v>sp-0031</x:v>
      </x:c>
      <x:c r="B23" s="28" t="str">
        <x:v>grid_integration</x:v>
      </x:c>
      <x:c r="C23" s="28" t="str">
        <x:v>Grid integration</x:v>
      </x:c>
      <x:c r="D23" s="28" t="str">
        <x:v>Fusion, magnetic confinement</x:v>
      </x:c>
      <x:c r="E23" s="28" t="str">
        <x:v>tokamak_research_to_pilot_plant_demonstration</x:v>
      </x:c>
      <x:c r="F23" s="28" t="str">
        <x:v>seed-sp-0031-v1</x:v>
      </x:c>
      <x:c r="G23" s="31" t="n">
        <x:v>1</x:v>
      </x:c>
      <x:c r="H23" s="28"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I23" s="28"/>
      <x:c r="J23" s="28" t="str">
        <x:v>independent-sp-0031-v1</x:v>
      </x:c>
      <x:c r="K23" s="31" t="n">
        <x:v>0</x:v>
      </x:c>
      <x:c r="L23" s="28"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M23" s="28"/>
      <x:c r="N23" s="28" t="str">
        <x:v>one_point_difference</x:v>
      </x:c>
      <x:c r="O23" s="28" t="str">
        <x:v>exc-sp-0031-s5</x:v>
      </x:c>
      <x:c r="P23" s="28" t="str">
        <x:v>prefer_seed</x:v>
      </x:c>
      <x:c r="Q23" s="28" t="str">
        <x:v>Select S5=1. Protection or integration errors can damage equipment and disturb a shared network, but layered protection, staged energization and utility operating procedures normally limit the direct consequence. This is very low tolerance, not automatically catastrophic or irreversible.</x:v>
      </x:c>
      <x:c r="R23" s="28" t="str">
        <x:v>owner_preference_recorded</x:v>
      </x:c>
      <x:c r="S23" s="28" t="str">
        <x:v>1</x:v>
      </x:c>
      <x:c r="T23" s="28" t="str">
        <x:v>low</x:v>
      </x:c>
      <x:c r="U23" s="28" t="str">
        <x:v>requires_human_expert</x:v>
      </x:c>
      <x:c r="V23" s="31" t="n">
        <x:v>1</x:v>
      </x:c>
      <x:c r="W23" s="31"/>
      <x:c r="X23" s="31"/>
      <x:c r="Y23" s="28" t="str">
        <x:v>selected_provisional_pending_named_expert</x:v>
      </x:c>
      <x:c r="Z23" s="28" t="str">
        <x:v>low</x:v>
      </x:c>
      <x:c r="AA23" s="28" t="str">
        <x:v>Independent utility/plant protection and isolation at the agreed connection boundary.</x:v>
      </x:c>
      <x:c r="AB23" s="28" t="str">
        <x:v>assumed_not_verified</x:v>
      </x:c>
      <x:c r="AC23" s="28" t="str">
        <x:v>The merged domain review marks this boundary assumed_not_verified; named review is required where flagged to test detection, authority, timing, and correlated-failure concerns.</x:v>
      </x:c>
      <x:c r="AD23" s="28" t="str">
        <x:v>Local equipment damage and network disturbance before independent isolation/protection acts.</x:v>
      </x:c>
      <x:c r="AE23" s="28" t="str">
        <x:v>Remote cascading outage or plant harm requiring subsequent independent network/plant protection failures.</x:v>
      </x:c>
      <x:c r="AF23" s="28" t="str">
        <x:v>fusion-src-031</x:v>
      </x:c>
      <x:c r="AG23" s="28" t="str">
        <x:v>gap-09 remains open: no observed magnetic-confinement grid-export case or independently validated utility/plant protection architecture exists.</x:v>
      </x:c>
      <x:c r="AH23" s="28" t="str">
        <x:v>gap-09</x:v>
      </x:c>
      <x:c r="AI23" s="28" t="str">
        <x:v>EXP-FUS-06</x:v>
      </x:c>
      <x:c r="AJ23" s="28" t="str">
        <x:v>pending_named_expert;source_or_boundary_evidence_gap;profile_population_and_owner_canonical_approval_not_performed</x:v>
      </x:c>
      <x:c r="AK23" s="28" t="str">
        <x:v>none</x:v>
      </x:c>
      <x:c r="AL23" s="28" t="str">
        <x:v>allowed_for_private_use_staged_wp2_and_public_pilot_only_as_EXPERT-CODED_DRAFT_with_range_confidence_gaps_visible</x:v>
      </x:c>
      <x:c r="AM23" s="34" t="n">
        <x:v>46268</x:v>
      </x:c>
      <x:c r="AN23" s="34" t="n">
        <x:v>46268</x:v>
      </x:c>
      <x:c r="AO23" s="28" t="str">
        <x:v>A coordinated protection study, staged energization plan and independently verified isolation boundaries.</x:v>
      </x:c>
      <x:c r="AP23" s="28" t="str">
        <x:v>Codex Desktop</x:v>
      </x:c>
      <x:c r="AQ23" s="28" t="str">
        <x:v>gpt-5.6-sol</x:v>
      </x:c>
      <x:c r="AR23" s="28" t="str">
        <x:v>xhigh</x:v>
      </x:c>
      <x:c r="AS23" s="28" t="str">
        <x:v>Select the owner-preferred and domain-reviewed point 1 provisionally; direct local equipment/network consequences count, while remote cascades require additional protection failures.</x:v>
      </x:c>
    </x:row>
  </x:sheetData>
  <x:mergeCells>
    <x:mergeCell ref="A1:AS1"/>
    <x:mergeCell ref="A2:AS2"/>
  </x:mergeCells>
  <x:pageMargins left="0.7" right="0.7" top="0.75" bottom="0.75" header="0.3" footer="0.3"/>
  <x:tableParts count="1">
    <x:tablePart xmlns:r="http://schemas.openxmlformats.org/officeDocument/2006/relationships" r:id="Rcfae849015b547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2" hidden="0" customWidth="1"/>
    <x:col min="5" max="5" width="12" hidden="0" customWidth="1"/>
    <x:col min="6" max="6" width="16" hidden="0" customWidth="1"/>
    <x:col min="7" max="7" width="16" hidden="0" customWidth="1"/>
    <x:col min="8" max="8" width="12" hidden="0" customWidth="1"/>
    <x:col min="9" max="9" width="12" hidden="0" customWidth="1"/>
    <x:col min="10" max="10" width="12" hidden="0" customWidth="1"/>
    <x:col min="11" max="11" width="28" hidden="0" customWidth="1"/>
    <x:col min="12" max="12" width="16" hidden="0" customWidth="1"/>
    <x:col min="13" max="13" width="36" hidden="0" customWidth="1"/>
    <x:col min="14" max="14" width="48" hidden="0" customWidth="1"/>
    <x:col min="15" max="15" width="48" hidden="0" customWidth="1"/>
    <x:col min="16" max="16" width="16" hidden="0" customWidth="1"/>
    <x:col min="17" max="17" width="48" hidden="0" customWidth="1"/>
    <x:col min="18" max="18" width="16" hidden="0" customWidth="1"/>
    <x:col min="19" max="19" width="16" hidden="0" customWidth="1"/>
    <x:col min="20" max="20" width="28" hidden="0" customWidth="1"/>
    <x:col min="21" max="21" width="16" hidden="0" customWidth="1"/>
    <x:col min="22" max="22" width="28" hidden="0" customWidth="1"/>
    <x:col min="23" max="23" width="48" hidden="0" customWidth="1"/>
  </x:cols>
  <x:sheetData>
    <x:row r="1" ht="30" customHeight="1">
      <x:c r="A1" s="5" t="str">
        <x:v>Software S5 view</x:v>
      </x:c>
      <x:c r="B1" s="3"/>
      <x:c r="C1" s="3"/>
      <x:c r="D1" s="3"/>
      <x:c r="E1" s="3"/>
      <x:c r="F1" s="3"/>
      <x:c r="G1" s="3"/>
      <x:c r="H1" s="3"/>
      <x:c r="I1" s="3"/>
      <x:c r="J1" s="3"/>
      <x:c r="K1" s="3"/>
      <x:c r="L1" s="3"/>
      <x:c r="M1" s="3"/>
      <x:c r="N1" s="3"/>
      <x:c r="O1" s="3"/>
      <x:c r="P1" s="3"/>
      <x:c r="Q1" s="3"/>
      <x:c r="R1" s="3"/>
      <x:c r="S1" s="3"/>
      <x:c r="T1" s="3"/>
      <x:c r="U1" s="3"/>
      <x:c r="V1" s="3"/>
      <x:c r="W1" s="3"/>
    </x:row>
    <x:row r="2" ht="38" customHeight="1">
      <x:c r="A2" s="7" t="str">
        <x:v>Frozen mature production-software scope; five targeted rows only.</x:v>
      </x:c>
      <x:c r="B2" s="3"/>
      <x:c r="C2" s="3"/>
      <x:c r="D2" s="3"/>
      <x:c r="E2" s="3"/>
      <x:c r="F2" s="3"/>
      <x:c r="G2" s="3"/>
      <x:c r="H2" s="3"/>
      <x:c r="I2" s="3"/>
      <x:c r="J2" s="3"/>
      <x:c r="K2" s="3"/>
      <x:c r="L2" s="3"/>
      <x:c r="M2" s="3"/>
      <x:c r="N2" s="3"/>
      <x:c r="O2" s="3"/>
      <x:c r="P2" s="3"/>
      <x:c r="Q2" s="3"/>
      <x:c r="R2" s="3"/>
      <x:c r="S2" s="3"/>
      <x:c r="T2" s="3"/>
      <x:c r="U2" s="3"/>
      <x:c r="V2" s="3"/>
      <x:c r="W2" s="3"/>
    </x:row>
    <x:row r="4" ht="34" customHeight="1">
      <x:c r="A4" s="16" t="str">
        <x:v>profile_id</x:v>
      </x:c>
      <x:c r="B4" s="17" t="str">
        <x:v>workflow</x:v>
      </x:c>
      <x:c r="C4" s="17" t="str">
        <x:v>sector</x:v>
      </x:c>
      <x:c r="D4" s="17" t="str">
        <x:v>seed_s5</x:v>
      </x:c>
      <x:c r="E4" s="17" t="str">
        <x:v>independent_s5</x:v>
      </x:c>
      <x:c r="F4" s="17" t="str">
        <x:v>owner_disposition</x:v>
      </x:c>
      <x:c r="G4" s="17" t="str">
        <x:v>domain_review_recommendation</x:v>
      </x:c>
      <x:c r="H4" s="17" t="str">
        <x:v>selected_s5</x:v>
      </x:c>
      <x:c r="I4" s="17" t="str">
        <x:v>recommended_low</x:v>
      </x:c>
      <x:c r="J4" s="17" t="str">
        <x:v>recommended_high</x:v>
      </x:c>
      <x:c r="K4" s="17" t="str">
        <x:v>adjudication_outcome</x:v>
      </x:c>
      <x:c r="L4" s="17" t="str">
        <x:v>adjudication_confidence</x:v>
      </x:c>
      <x:c r="M4" s="17" t="str">
        <x:v>next_independent_boundary</x:v>
      </x:c>
      <x:c r="N4" s="17" t="str">
        <x:v>bounded_direct_consequence</x:v>
      </x:c>
      <x:c r="O4" s="17" t="str">
        <x:v>excluded_later_consequences</x:v>
      </x:c>
      <x:c r="P4" s="17" t="str">
        <x:v>source_ids</x:v>
      </x:c>
      <x:c r="Q4" s="17" t="str">
        <x:v>source_gap</x:v>
      </x:c>
      <x:c r="R4" s="17" t="str">
        <x:v>unresolved_gap_ids</x:v>
      </x:c>
      <x:c r="S4" s="17" t="str">
        <x:v>human_expert_package_id</x:v>
      </x:c>
      <x:c r="T4" s="17" t="str">
        <x:v>canonical_approval_blocker</x:v>
      </x:c>
      <x:c r="U4" s="17" t="str">
        <x:v>draft_use_blocker</x:v>
      </x:c>
      <x:c r="V4" s="17" t="str">
        <x:v>draft_use_status</x:v>
      </x:c>
      <x:c r="W4" s="18" t="str">
        <x:v>notes</x:v>
      </x:c>
    </x:row>
    <x:row r="5" ht="120" customHeight="1">
      <x:c r="A5" s="26" t="str">
        <x:v>sp-0001</x:v>
      </x:c>
      <x:c r="B5" s="26" t="str">
        <x:v>Requirements and architecture</x:v>
      </x:c>
      <x:c r="C5" s="26" t="str">
        <x:v>Software engineering</x:v>
      </x:c>
      <x:c r="D5" s="29" t="n">
        <x:v>3</x:v>
      </x:c>
      <x:c r="E5" s="29" t="n">
        <x:v>2</x:v>
      </x:c>
      <x:c r="F5" s="26"/>
      <x:c r="G5" s="26"/>
      <x:c r="H5" s="29" t="n">
        <x:v>3</x:v>
      </x:c>
      <x:c r="I5" s="29"/>
      <x:c r="J5" s="29"/>
      <x:c r="K5" s="26" t="str">
        <x:v>selected_provisional_pending_named_expert</x:v>
      </x:c>
      <x:c r="L5" s="26" t="str">
        <x:v>medium</x:v>
      </x:c>
      <x:c r="M5" s="26" t="str">
        <x:v>Independent architecture or design-authority review before implementation commitments are authorized.</x:v>
      </x:c>
      <x:c r="N5" s="26" t="str">
        <x:v>Misdirected design analysis, dependency planning, and reversible engineering rework undertaken before the architecture review acts.</x:v>
      </x:c>
      <x:c r="O5" s="26" t="str">
        <x:v>Implementation, deployment, or user harm that requires the independent architecture review and later verification or release controls to fail.</x:v>
      </x:c>
      <x:c r="P5" s="26"/>
      <x:c r="Q5" s="26" t="str">
        <x:v>No exact-stage canonical source on mature-software architecture review, boundary independence, or pre-review rework severity.</x:v>
      </x:c>
      <x:c r="R5" s="26"/>
      <x:c r="S5" s="26" t="str">
        <x:v>EXP-SW-01</x:v>
      </x:c>
      <x:c r="T5" s="26" t="str">
        <x:v>pending_named_expert;source_or_boundary_evidence_gap;profile_population_and_owner_canonical_approval_not_performed</x:v>
      </x:c>
      <x:c r="U5" s="26" t="str">
        <x:v>none</x:v>
      </x:c>
      <x:c r="V5" s="26" t="str">
        <x:v>allowed_for_private_use_staged_wp2_and_public_pilot_only_as_EXPERT-CODED_DRAFT_with_range_confidence_gaps_visible</x:v>
      </x:c>
      <x:c r="W5" s="26" t="str">
        <x:v>Select the seed value 3: bounded consequences are meaningful but remain reversible engineering rework before an assumed design-authority boundary.</x:v>
      </x:c>
    </x:row>
    <x:row r="6" ht="120" customHeight="1">
      <x:c r="A6" s="27" t="str">
        <x:v>sp-0002</x:v>
      </x:c>
      <x:c r="B6" s="27" t="str">
        <x:v>Implementation</x:v>
      </x:c>
      <x:c r="C6" s="27" t="str">
        <x:v>Software engineering</x:v>
      </x:c>
      <x:c r="D6" s="30" t="n">
        <x:v>4</x:v>
      </x:c>
      <x:c r="E6" s="30" t="n">
        <x:v>3</x:v>
      </x:c>
      <x:c r="F6" s="27"/>
      <x:c r="G6" s="27"/>
      <x:c r="H6" s="30" t="n">
        <x:v>3</x:v>
      </x:c>
      <x:c r="I6" s="30"/>
      <x:c r="J6" s="30"/>
      <x:c r="K6" s="27" t="str">
        <x:v>selected_provisional_pending_named_expert</x:v>
      </x:c>
      <x:c r="L6" s="27" t="str">
        <x:v>medium</x:v>
      </x:c>
      <x:c r="M6" s="27" t="str">
        <x:v>Independent verification, code review, and change-control gate before release or deployment.</x:v>
      </x:c>
      <x:c r="N6" s="27" t="str">
        <x:v>Failed builds, integration breakage, and reversible code or configuration rework before verification and change control block release.</x:v>
      </x:c>
      <x:c r="O6" s="27" t="str">
        <x:v>Production outage, data loss, or customer harm that requires independent verification and release controls to miss or authorize the defect.</x:v>
      </x:c>
      <x:c r="P6" s="27"/>
      <x:c r="Q6" s="27" t="str">
        <x:v>No exact-stage canonical source on mature-software implementation rework or the independence and effectiveness of verification/change-control gates.</x:v>
      </x:c>
      <x:c r="R6" s="27"/>
      <x:c r="S6" s="27" t="str">
        <x:v>EXP-SW-01</x:v>
      </x:c>
      <x:c r="T6" s="27" t="str">
        <x:v>pending_named_expert;source_or_boundary_evidence_gap;profile_population_and_owner_canonical_approval_not_performed</x:v>
      </x:c>
      <x:c r="U6" s="27" t="str">
        <x:v>none</x:v>
      </x:c>
      <x:c r="V6" s="27" t="str">
        <x:v>allowed_for_private_use_staged_wp2_and_public_pilot_only_as_EXPERT-CODED_DRAFT_with_range_confidence_gaps_visible</x:v>
      </x:c>
      <x:c r="W6" s="27" t="str">
        <x:v>Select the independent value 3: version control preserves reversibility, while escaped implementation errors can still impose meaningful integration rework before the next independent gate.</x:v>
      </x:c>
    </x:row>
    <x:row r="7" ht="120" customHeight="1">
      <x:c r="A7" s="27" t="str">
        <x:v>sp-0003</x:v>
      </x:c>
      <x:c r="B7" s="27" t="str">
        <x:v>Verification and validation</x:v>
      </x:c>
      <x:c r="C7" s="27" t="str">
        <x:v>Software engineering</x:v>
      </x:c>
      <x:c r="D7" s="30" t="n">
        <x:v>4</x:v>
      </x:c>
      <x:c r="E7" s="30" t="n">
        <x:v>2</x:v>
      </x:c>
      <x:c r="F7" s="27" t="str">
        <x:v>prefer_independent</x:v>
      </x:c>
      <x:c r="G7" s="27"/>
      <x:c r="H7" s="30" t="n">
        <x:v>2</x:v>
      </x:c>
      <x:c r="I7" s="30"/>
      <x:c r="J7" s="30"/>
      <x:c r="K7" s="27" t="str">
        <x:v>selected_provisional_pending_named_expert</x:v>
      </x:c>
      <x:c r="L7" s="27" t="str">
        <x:v>medium</x:v>
      </x:c>
      <x:c r="M7" s="27" t="str">
        <x:v>Independent release authorization and production canary-health or rollback control able to stop wider rollout.</x:v>
      </x:c>
      <x:c r="N7" s="27" t="str">
        <x:v>A false negative or incorrect validation can release a defect, create material rework, and cause bounded canary or early-user service impact before independent release monitoring stops expansion.</x:v>
      </x:c>
      <x:c r="O7" s="27" t="str">
        <x:v>Broad or prolonged service harm that requires release authorization, canary detection, rollback, and later operations controls to fail separately.</x:v>
      </x:c>
      <x:c r="P7" s="27"/>
      <x:c r="Q7" s="27" t="str">
        <x:v>No exact-stage canonical source on mature-software false-negative consequences or the independence of release and canary controls.</x:v>
      </x:c>
      <x:c r="R7" s="27"/>
      <x:c r="S7" s="27" t="str">
        <x:v>EXP-SW-01</x:v>
      </x:c>
      <x:c r="T7" s="27" t="str">
        <x:v>pending_named_expert;source_or_boundary_evidence_gap;profile_population_and_owner_canonical_approval_not_performed</x:v>
      </x:c>
      <x:c r="U7" s="27" t="str">
        <x:v>none</x:v>
      </x:c>
      <x:c r="V7" s="27" t="str">
        <x:v>allowed_for_private_use_staged_wp2_and_public_pilot_only_as_EXPERT-CODED_DRAFT_with_range_confidence_gaps_visible</x:v>
      </x:c>
      <x:c r="W7" s="27" t="str">
        <x:v>Select S5=2 in line with the owner disposition; 4 excludes a reasonably foreseeable escaped defect, while the non-safety-critical scope and bounded release controls do not justify the bottom anchors.</x:v>
      </x:c>
    </x:row>
    <x:row r="8" ht="120" customHeight="1">
      <x:c r="A8" s="27" t="str">
        <x:v>sp-0004</x:v>
      </x:c>
      <x:c r="B8" s="27" t="str">
        <x:v>Deployment</x:v>
      </x:c>
      <x:c r="C8" s="27" t="str">
        <x:v>Software engineering</x:v>
      </x:c>
      <x:c r="D8" s="30" t="n">
        <x:v>2</x:v>
      </x:c>
      <x:c r="E8" s="30" t="n">
        <x:v>1</x:v>
      </x:c>
      <x:c r="F8" s="27"/>
      <x:c r="G8" s="27"/>
      <x:c r="H8" s="30" t="n">
        <x:v>1</x:v>
      </x:c>
      <x:c r="I8" s="30"/>
      <x:c r="J8" s="30"/>
      <x:c r="K8" s="27" t="str">
        <x:v>selected_provisional_pending_named_expert</x:v>
      </x:c>
      <x:c r="L8" s="27" t="str">
        <x:v>medium</x:v>
      </x:c>
      <x:c r="M8" s="27" t="str">
        <x:v>Independent runtime health monitoring and rollback or incident-command authority able to halt the rollout.</x:v>
      </x:c>
      <x:c r="N8" s="27" t="str">
        <x:v>A bounded production outage, failed migration, limited data corruption, or recovery work before independent monitoring and rollback halt the rollout.</x:v>
      </x:c>
      <x:c r="O8" s="27" t="str">
        <x:v>Extended outage, widespread data loss, or downstream business harm requiring monitoring, rollback, backup, or incident-command controls to fail independently.</x:v>
      </x:c>
      <x:c r="P8" s="27"/>
      <x:c r="Q8" s="27" t="str">
        <x:v>No exact-stage canonical source on rollback effectiveness, migration reversibility, or change-failure consequences in the frozen mature-software scope.</x:v>
      </x:c>
      <x:c r="R8" s="27"/>
      <x:c r="S8" s="27" t="str">
        <x:v>EXP-SW-01</x:v>
      </x:c>
      <x:c r="T8" s="27" t="str">
        <x:v>pending_named_expert;source_or_boundary_evidence_gap;profile_population_and_owner_canonical_approval_not_performed</x:v>
      </x:c>
      <x:c r="U8" s="27" t="str">
        <x:v>none</x:v>
      </x:c>
      <x:c r="V8" s="27" t="str">
        <x:v>allowed_for_private_use_staged_wp2_and_public_pilot_only_as_EXPERT-CODED_DRAFT_with_range_confidence_gaps_visible</x:v>
      </x:c>
      <x:c r="W8" s="27" t="str">
        <x:v>Select the independent value 1: errors can reach live state and be partly irreversible before a real runtime control acts, despite progressive rollout and rollback.</x:v>
      </x:c>
    </x:row>
    <x:row r="9" ht="120" customHeight="1">
      <x:c r="A9" s="28" t="str">
        <x:v>sp-0005</x:v>
      </x:c>
      <x:c r="B9" s="28" t="str">
        <x:v>Operations and maintenance</x:v>
      </x:c>
      <x:c r="C9" s="28" t="str">
        <x:v>Software engineering</x:v>
      </x:c>
      <x:c r="D9" s="31" t="n">
        <x:v>2</x:v>
      </x:c>
      <x:c r="E9" s="31" t="n">
        <x:v>1</x:v>
      </x:c>
      <x:c r="F9" s="28"/>
      <x:c r="G9" s="28"/>
      <x:c r="H9" s="31" t="n">
        <x:v>1</x:v>
      </x:c>
      <x:c r="I9" s="31"/>
      <x:c r="J9" s="31"/>
      <x:c r="K9" s="28" t="str">
        <x:v>selected_provisional_pending_named_expert</x:v>
      </x:c>
      <x:c r="L9" s="28" t="str">
        <x:v>medium</x:v>
      </x:c>
      <x:c r="M9" s="28" t="str">
        <x:v>Independent observability alarm plus incident-command, change-approval, or automated safety control able to stop and reverse the operational action.</x:v>
      </x:c>
      <x:c r="N9" s="28" t="str">
        <x:v>Extended incident duration, bounded service outage, lost or corrupted data, and recovery burden before independent detection and command contain the action.</x:v>
      </x:c>
      <x:c r="O9" s="28" t="str">
        <x:v>Remote service cascades or prolonged losses requiring independent observability, incident command, backup, or dependent-service controls to fail separately.</x:v>
      </x:c>
      <x:c r="P9" s="28"/>
      <x:c r="Q9" s="28" t="str">
        <x:v>No exact-stage canonical source on mature-software operational error consequences, recovery success, or independence of incident controls.</x:v>
      </x:c>
      <x:c r="R9" s="28"/>
      <x:c r="S9" s="28" t="str">
        <x:v>EXP-SW-01</x:v>
      </x:c>
      <x:c r="T9" s="28" t="str">
        <x:v>pending_named_expert;source_or_boundary_evidence_gap;profile_population_and_owner_canonical_approval_not_performed</x:v>
      </x:c>
      <x:c r="U9" s="28" t="str">
        <x:v>none</x:v>
      </x:c>
      <x:c r="V9" s="28" t="str">
        <x:v>allowed_for_private_use_staged_wp2_and_public_pilot_only_as_EXPERT-CODED_DRAFT_with_range_confidence_gaps_visible</x:v>
      </x:c>
      <x:c r="W9" s="28" t="str">
        <x:v>Select the independent value 1: an error acts on live state and can impose irreversible data or user consequences before containment, even when rollback is often available.</x:v>
      </x:c>
    </x:row>
  </x:sheetData>
  <x:mergeCells>
    <x:mergeCell ref="A1:W1"/>
    <x:mergeCell ref="A2:W2"/>
  </x:mergeCells>
  <x:pageMargins left="0.7" right="0.7" top="0.75" bottom="0.75" header="0.3" footer="0.3"/>
  <x:tableParts count="1">
    <x:tablePart xmlns:r="http://schemas.openxmlformats.org/officeDocument/2006/relationships" r:id="Rf4db7daa62d845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2" hidden="0" customWidth="1"/>
    <x:col min="5" max="5" width="12" hidden="0" customWidth="1"/>
    <x:col min="6" max="6" width="16" hidden="0" customWidth="1"/>
    <x:col min="7" max="7" width="16" hidden="0" customWidth="1"/>
    <x:col min="8" max="8" width="12" hidden="0" customWidth="1"/>
    <x:col min="9" max="9" width="12" hidden="0" customWidth="1"/>
    <x:col min="10" max="10" width="12" hidden="0" customWidth="1"/>
    <x:col min="11" max="11" width="28" hidden="0" customWidth="1"/>
    <x:col min="12" max="12" width="16" hidden="0" customWidth="1"/>
    <x:col min="13" max="13" width="36" hidden="0" customWidth="1"/>
    <x:col min="14" max="14" width="48" hidden="0" customWidth="1"/>
    <x:col min="15" max="15" width="48" hidden="0" customWidth="1"/>
    <x:col min="16" max="16" width="16" hidden="0" customWidth="1"/>
    <x:col min="17" max="17" width="48" hidden="0" customWidth="1"/>
    <x:col min="18" max="18" width="16" hidden="0" customWidth="1"/>
    <x:col min="19" max="19" width="16" hidden="0" customWidth="1"/>
    <x:col min="20" max="20" width="28" hidden="0" customWidth="1"/>
    <x:col min="21" max="21" width="16" hidden="0" customWidth="1"/>
    <x:col min="22" max="22" width="28" hidden="0" customWidth="1"/>
    <x:col min="23" max="23" width="48" hidden="0" customWidth="1"/>
  </x:cols>
  <x:sheetData>
    <x:row r="1" ht="30" customHeight="1">
      <x:c r="A1" s="5" t="str">
        <x:v>Manufacturing S5 view</x:v>
      </x:c>
      <x:c r="B1" s="3"/>
      <x:c r="C1" s="3"/>
      <x:c r="D1" s="3"/>
      <x:c r="E1" s="3"/>
      <x:c r="F1" s="3"/>
      <x:c r="G1" s="3"/>
      <x:c r="H1" s="3"/>
      <x:c r="I1" s="3"/>
      <x:c r="J1" s="3"/>
      <x:c r="K1" s="3"/>
      <x:c r="L1" s="3"/>
      <x:c r="M1" s="3"/>
      <x:c r="N1" s="3"/>
      <x:c r="O1" s="3"/>
      <x:c r="P1" s="3"/>
      <x:c r="Q1" s="3"/>
      <x:c r="R1" s="3"/>
      <x:c r="S1" s="3"/>
      <x:c r="T1" s="3"/>
      <x:c r="U1" s="3"/>
      <x:c r="V1" s="3"/>
      <x:c r="W1" s="3"/>
    </x:row>
    <x:row r="2" ht="38" customHeight="1">
      <x:c r="A2" s="7" t="str">
        <x:v>Frozen medium-to-high-volume discrete NPI and operations scope; four targeted rows only.</x:v>
      </x:c>
      <x:c r="B2" s="3"/>
      <x:c r="C2" s="3"/>
      <x:c r="D2" s="3"/>
      <x:c r="E2" s="3"/>
      <x:c r="F2" s="3"/>
      <x:c r="G2" s="3"/>
      <x:c r="H2" s="3"/>
      <x:c r="I2" s="3"/>
      <x:c r="J2" s="3"/>
      <x:c r="K2" s="3"/>
      <x:c r="L2" s="3"/>
      <x:c r="M2" s="3"/>
      <x:c r="N2" s="3"/>
      <x:c r="O2" s="3"/>
      <x:c r="P2" s="3"/>
      <x:c r="Q2" s="3"/>
      <x:c r="R2" s="3"/>
      <x:c r="S2" s="3"/>
      <x:c r="T2" s="3"/>
      <x:c r="U2" s="3"/>
      <x:c r="V2" s="3"/>
      <x:c r="W2" s="3"/>
    </x:row>
    <x:row r="4" ht="34" customHeight="1">
      <x:c r="A4" s="16" t="str">
        <x:v>profile_id</x:v>
      </x:c>
      <x:c r="B4" s="17" t="str">
        <x:v>workflow</x:v>
      </x:c>
      <x:c r="C4" s="17" t="str">
        <x:v>sector</x:v>
      </x:c>
      <x:c r="D4" s="17" t="str">
        <x:v>seed_s5</x:v>
      </x:c>
      <x:c r="E4" s="17" t="str">
        <x:v>independent_s5</x:v>
      </x:c>
      <x:c r="F4" s="17" t="str">
        <x:v>owner_disposition</x:v>
      </x:c>
      <x:c r="G4" s="17" t="str">
        <x:v>domain_review_recommendation</x:v>
      </x:c>
      <x:c r="H4" s="17" t="str">
        <x:v>selected_s5</x:v>
      </x:c>
      <x:c r="I4" s="17" t="str">
        <x:v>recommended_low</x:v>
      </x:c>
      <x:c r="J4" s="17" t="str">
        <x:v>recommended_high</x:v>
      </x:c>
      <x:c r="K4" s="17" t="str">
        <x:v>adjudication_outcome</x:v>
      </x:c>
      <x:c r="L4" s="17" t="str">
        <x:v>adjudication_confidence</x:v>
      </x:c>
      <x:c r="M4" s="17" t="str">
        <x:v>next_independent_boundary</x:v>
      </x:c>
      <x:c r="N4" s="17" t="str">
        <x:v>bounded_direct_consequence</x:v>
      </x:c>
      <x:c r="O4" s="17" t="str">
        <x:v>excluded_later_consequences</x:v>
      </x:c>
      <x:c r="P4" s="17" t="str">
        <x:v>source_ids</x:v>
      </x:c>
      <x:c r="Q4" s="17" t="str">
        <x:v>source_gap</x:v>
      </x:c>
      <x:c r="R4" s="17" t="str">
        <x:v>unresolved_gap_ids</x:v>
      </x:c>
      <x:c r="S4" s="17" t="str">
        <x:v>human_expert_package_id</x:v>
      </x:c>
      <x:c r="T4" s="17" t="str">
        <x:v>canonical_approval_blocker</x:v>
      </x:c>
      <x:c r="U4" s="17" t="str">
        <x:v>draft_use_blocker</x:v>
      </x:c>
      <x:c r="V4" s="17" t="str">
        <x:v>draft_use_status</x:v>
      </x:c>
      <x:c r="W4" s="18" t="str">
        <x:v>notes</x:v>
      </x:c>
    </x:row>
    <x:row r="5" ht="120" customHeight="1">
      <x:c r="A5" s="26" t="str">
        <x:v>sp-0008</x:v>
      </x:c>
      <x:c r="B5" s="26" t="str">
        <x:v>Supply and tooling</x:v>
      </x:c>
      <x:c r="C5" s="26" t="str">
        <x:v>Discrete manufacturing</x:v>
      </x:c>
      <x:c r="D5" s="29" t="n">
        <x:v>1</x:v>
      </x:c>
      <x:c r="E5" s="29" t="n">
        <x:v>2</x:v>
      </x:c>
      <x:c r="F5" s="26"/>
      <x:c r="G5" s="26"/>
      <x:c r="H5" s="29" t="n">
        <x:v>2</x:v>
      </x:c>
      <x:c r="I5" s="29"/>
      <x:c r="J5" s="29"/>
      <x:c r="K5" s="26" t="str">
        <x:v>selected_provisional_pending_named_expert</x:v>
      </x:c>
      <x:c r="L5" s="26" t="str">
        <x:v>medium</x:v>
      </x:c>
      <x:c r="M5" s="26" t="str">
        <x:v>Independent tool tryout, first-article inspection, and supplier or material acceptance before commissioning or production release.</x:v>
      </x:c>
      <x:c r="N5" s="26" t="str">
        <x:v>Scrapped or recut tooling, lost material, repeat procurement, and schedule delay incurred before first-article or supplier acceptance rejects the output.</x:v>
      </x:c>
      <x:c r="O5" s="26" t="str">
        <x:v>Production defects, customer harm, or line-wide losses that require independent tryout, acceptance, commissioning, and quality controls to fail later.</x:v>
      </x:c>
      <x:c r="P5" s="26"/>
      <x:c r="Q5" s="26" t="str">
        <x:v>No exact-stage canonical source on tooling rework cost, supplier qualification failure, or the independence of first-article acceptance in the frozen NPI pathway.</x:v>
      </x:c>
      <x:c r="R5" s="26"/>
      <x:c r="S5" s="26" t="str">
        <x:v>EXP-MFG-01</x:v>
      </x:c>
      <x:c r="T5" s="26" t="str">
        <x:v>pending_named_expert;source_or_boundary_evidence_gap;profile_population_and_owner_canonical_approval_not_performed</x:v>
      </x:c>
      <x:c r="U5" s="26" t="str">
        <x:v>none</x:v>
      </x:c>
      <x:c r="V5" s="26" t="str">
        <x:v>allowed_for_private_use_staged_wp2_and_public_pilot_only_as_EXPERT-CODED_DRAFT_with_range_confidence_gaps_visible</x:v>
      </x:c>
      <x:c r="W5" s="26" t="str">
        <x:v>Select the independent value 2: tooling mistakes can be expensive and partly irreversible, but the next acceptance boundary ordinarily contains them before wider production consequences.</x:v>
      </x:c>
    </x:row>
    <x:row r="6" ht="120" customHeight="1">
      <x:c r="A6" s="27" t="str">
        <x:v>sp-0011</x:v>
      </x:c>
      <x:c r="B6" s="27" t="str">
        <x:v>Production and process control</x:v>
      </x:c>
      <x:c r="C6" s="27" t="str">
        <x:v>Discrete manufacturing</x:v>
      </x:c>
      <x:c r="D6" s="30" t="n">
        <x:v>2</x:v>
      </x:c>
      <x:c r="E6" s="30" t="n">
        <x:v>1</x:v>
      </x:c>
      <x:c r="F6" s="27"/>
      <x:c r="G6" s="27"/>
      <x:c r="H6" s="30"/>
      <x:c r="I6" s="30" t="n">
        <x:v>1</x:v>
      </x:c>
      <x:c r="J6" s="30" t="n">
        <x:v>2</x:v>
      </x:c>
      <x:c r="K6" s="27" t="str">
        <x:v>preserved_range</x:v>
      </x:c>
      <x:c r="L6" s="27" t="str">
        <x:v>low</x:v>
      </x:c>
      <x:c r="M6" s="27" t="str">
        <x:v>Independent in-process stop or inspection and downstream quality-release control before the affected lot leaves controlled production.</x:v>
      </x:c>
      <x:c r="N6" s="27" t="str">
        <x:v>Scrap, rework, a bounded defective lot, localized equipment damage, or worker exposure before an independent stop or quality-release control acts.</x:v>
      </x:c>
      <x:c r="O6" s="27" t="str">
        <x:v>Customer or regulated-product harm requiring independent downstream quality release, traceability, or product-specific safety controls to fail.</x:v>
      </x:c>
      <x:c r="P6" s="27"/>
      <x:c r="Q6" s="27" t="str">
        <x:v>No exact-stage canonical source resolves the typical defect-lot, equipment, or safety consequence before independent process and quality controls in the frozen manufacturing scope.</x:v>
      </x:c>
      <x:c r="R6" s="27"/>
      <x:c r="S6" s="27" t="str">
        <x:v>EXP-MFG-01</x:v>
      </x:c>
      <x:c r="T6" s="27" t="str">
        <x:v>pending_named_expert;source_or_boundary_evidence_gap;profile_population_and_owner_canonical_approval_not_performed</x:v>
      </x:c>
      <x:c r="U6" s="27" t="str">
        <x:v>none</x:v>
      </x:c>
      <x:c r="V6" s="27" t="str">
        <x:v>allowed_for_private_use_staged_wp2_and_public_pilot_only_as_EXPERT-CODED_DRAFT_with_range_confidence_gaps_visible</x:v>
      </x:c>
      <x:c r="W6" s="27" t="str">
        <x:v>Preserve 1-2: the frozen scope admits both material contained process loss and low-tolerance equipment or safety consequences, and the record does not establish a representative independent boundary.</x:v>
      </x:c>
    </x:row>
    <x:row r="7" ht="120" customHeight="1">
      <x:c r="A7" s="27" t="str">
        <x:v>sp-0012</x:v>
      </x:c>
      <x:c r="B7" s="27" t="str">
        <x:v>Quality assurance</x:v>
      </x:c>
      <x:c r="C7" s="27" t="str">
        <x:v>Discrete manufacturing</x:v>
      </x:c>
      <x:c r="D7" s="30" t="n">
        <x:v>2</x:v>
      </x:c>
      <x:c r="E7" s="30" t="n">
        <x:v>1</x:v>
      </x:c>
      <x:c r="F7" s="27"/>
      <x:c r="G7" s="27"/>
      <x:c r="H7" s="30"/>
      <x:c r="I7" s="30" t="n">
        <x:v>1</x:v>
      </x:c>
      <x:c r="J7" s="30" t="n">
        <x:v>2</x:v>
      </x:c>
      <x:c r="K7" s="27" t="str">
        <x:v>preserved_range</x:v>
      </x:c>
      <x:c r="L7" s="27" t="str">
        <x:v>low</x:v>
      </x:c>
      <x:c r="M7" s="27" t="str">
        <x:v>Independent shipment-release review, downstream incoming inspection, or field traceability and containment control.</x:v>
      </x:c>
      <x:c r="N7" s="27" t="str">
        <x:v>False rejection and scrap, or release of a bounded defect population causing customer disruption and field containment before an independent downstream check acts.</x:v>
      </x:c>
      <x:c r="O7" s="27" t="str">
        <x:v>Safety-critical or regulated-product harm outside the frozen scope, and remote customer harm requiring later traceability, containment, or product-specific safety controls to fail.</x:v>
      </x:c>
      <x:c r="P7" s="27"/>
      <x:c r="Q7" s="27" t="str">
        <x:v>No exact-stage canonical source establishes a representative post-QA independent boundary, escape rate, defect-lot consequence, or containment performance.</x:v>
      </x:c>
      <x:c r="R7" s="27"/>
      <x:c r="S7" s="27" t="str">
        <x:v>EXP-MFG-01</x:v>
      </x:c>
      <x:c r="T7" s="27" t="str">
        <x:v>pending_named_expert;source_or_boundary_evidence_gap;profile_population_and_owner_canonical_approval_not_performed</x:v>
      </x:c>
      <x:c r="U7" s="27" t="str">
        <x:v>none</x:v>
      </x:c>
      <x:c r="V7" s="27" t="str">
        <x:v>allowed_for_private_use_staged_wp2_and_public_pilot_only_as_EXPERT-CODED_DRAFT_with_range_confidence_gaps_visible</x:v>
      </x:c>
      <x:c r="W7" s="27" t="str">
        <x:v>Preserve 1-2: false acceptance has direct externality, but the non-regulated frozen scope and variable post-QA boundary do not justify a single point.</x:v>
      </x:c>
    </x:row>
    <x:row r="8" ht="120" customHeight="1">
      <x:c r="A8" s="28" t="str">
        <x:v>sp-0013</x:v>
      </x:c>
      <x:c r="B8" s="28" t="str">
        <x:v>Maintenance and continuous improvement</x:v>
      </x:c>
      <x:c r="C8" s="28" t="str">
        <x:v>Discrete manufacturing</x:v>
      </x:c>
      <x:c r="D8" s="31" t="n">
        <x:v>2</x:v>
      </x:c>
      <x:c r="E8" s="31" t="n">
        <x:v>1</x:v>
      </x:c>
      <x:c r="F8" s="28"/>
      <x:c r="G8" s="28"/>
      <x:c r="H8" s="31"/>
      <x:c r="I8" s="31" t="n">
        <x:v>1</x:v>
      </x:c>
      <x:c r="J8" s="31" t="n">
        <x:v>2</x:v>
      </x:c>
      <x:c r="K8" s="28" t="str">
        <x:v>preserved_range</x:v>
      </x:c>
      <x:c r="L8" s="28" t="str">
        <x:v>low</x:v>
      </x:c>
      <x:c r="M8" s="28" t="str">
        <x:v>Independent post-maintenance functional or safety verification and restart authorization before sustained production resumes.</x:v>
      </x:c>
      <x:c r="N8" s="28" t="str">
        <x:v>Extended downtime, repeat repair, localized equipment damage, lost output, or bounded safety exposure before independent post-maintenance verification stops restart.</x:v>
      </x:c>
      <x:c r="O8" s="28" t="str">
        <x:v>Sustained production defects, wider worker or customer harm, and remote line cascades requiring restart verification and later process or quality controls to fail.</x:v>
      </x:c>
      <x:c r="P8" s="28"/>
      <x:c r="Q8" s="28" t="str">
        <x:v>No exact-stage canonical source resolves typical post-maintenance verification independence or the consequence distribution in the frozen manufacturing pathway.</x:v>
      </x:c>
      <x:c r="R8" s="28"/>
      <x:c r="S8" s="28" t="str">
        <x:v>EXP-MFG-01</x:v>
      </x:c>
      <x:c r="T8" s="28" t="str">
        <x:v>pending_named_expert;source_or_boundary_evidence_gap;profile_population_and_owner_canonical_approval_not_performed</x:v>
      </x:c>
      <x:c r="U8" s="28" t="str">
        <x:v>none</x:v>
      </x:c>
      <x:c r="V8" s="28" t="str">
        <x:v>allowed_for_private_use_staged_wp2_and_public_pilot_only_as_EXPERT-CODED_DRAFT_with_range_confidence_gaps_visible</x:v>
      </x:c>
      <x:c r="W8" s="28" t="str">
        <x:v>Preserve 1-2: direct physical and safety consequences can be serious, but isolation and independent restart checks often contain them; current rationales do not justify a universal point.</x:v>
      </x:c>
    </x:row>
  </x:sheetData>
  <x:mergeCells>
    <x:mergeCell ref="A1:W1"/>
    <x:mergeCell ref="A2:W2"/>
  </x:mergeCells>
  <x:pageMargins left="0.7" right="0.7" top="0.75" bottom="0.75" header="0.3" footer="0.3"/>
  <x:tableParts count="1">
    <x:tablePart xmlns:r="http://schemas.openxmlformats.org/officeDocument/2006/relationships" r:id="R30b6b74e051344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2" hidden="0" customWidth="1"/>
    <x:col min="5" max="5" width="12" hidden="0" customWidth="1"/>
    <x:col min="6" max="6" width="16" hidden="0" customWidth="1"/>
    <x:col min="7" max="7" width="16" hidden="0" customWidth="1"/>
    <x:col min="8" max="8" width="12" hidden="0" customWidth="1"/>
    <x:col min="9" max="9" width="12" hidden="0" customWidth="1"/>
    <x:col min="10" max="10" width="12" hidden="0" customWidth="1"/>
    <x:col min="11" max="11" width="28" hidden="0" customWidth="1"/>
    <x:col min="12" max="12" width="16" hidden="0" customWidth="1"/>
    <x:col min="13" max="13" width="36" hidden="0" customWidth="1"/>
    <x:col min="14" max="14" width="48" hidden="0" customWidth="1"/>
    <x:col min="15" max="15" width="48" hidden="0" customWidth="1"/>
    <x:col min="16" max="16" width="16" hidden="0" customWidth="1"/>
    <x:col min="17" max="17" width="48" hidden="0" customWidth="1"/>
    <x:col min="18" max="18" width="16" hidden="0" customWidth="1"/>
    <x:col min="19" max="19" width="16" hidden="0" customWidth="1"/>
    <x:col min="20" max="20" width="28" hidden="0" customWidth="1"/>
    <x:col min="21" max="21" width="16" hidden="0" customWidth="1"/>
    <x:col min="22" max="22" width="28" hidden="0" customWidth="1"/>
    <x:col min="23" max="23" width="48" hidden="0" customWidth="1"/>
  </x:cols>
  <x:sheetData>
    <x:row r="1" ht="30" customHeight="1">
      <x:c r="A1" s="5" t="str">
        <x:v>Fusion S5 view</x:v>
      </x:c>
      <x:c r="B1" s="3"/>
      <x:c r="C1" s="3"/>
      <x:c r="D1" s="3"/>
      <x:c r="E1" s="3"/>
      <x:c r="F1" s="3"/>
      <x:c r="G1" s="3"/>
      <x:c r="H1" s="3"/>
      <x:c r="I1" s="3"/>
      <x:c r="J1" s="3"/>
      <x:c r="K1" s="3"/>
      <x:c r="L1" s="3"/>
      <x:c r="M1" s="3"/>
      <x:c r="N1" s="3"/>
      <x:c r="O1" s="3"/>
      <x:c r="P1" s="3"/>
      <x:c r="Q1" s="3"/>
      <x:c r="R1" s="3"/>
      <x:c r="S1" s="3"/>
      <x:c r="T1" s="3"/>
      <x:c r="U1" s="3"/>
      <x:c r="V1" s="3"/>
      <x:c r="W1" s="3"/>
    </x:row>
    <x:row r="2" ht="38" customHeight="1">
      <x:c r="A2" s="7" t="str">
        <x:v>Ten targeted tokamak rows using the merged model-domain review; all inherited evidence limits and nine gaps remain open.</x:v>
      </x:c>
      <x:c r="B2" s="3"/>
      <x:c r="C2" s="3"/>
      <x:c r="D2" s="3"/>
      <x:c r="E2" s="3"/>
      <x:c r="F2" s="3"/>
      <x:c r="G2" s="3"/>
      <x:c r="H2" s="3"/>
      <x:c r="I2" s="3"/>
      <x:c r="J2" s="3"/>
      <x:c r="K2" s="3"/>
      <x:c r="L2" s="3"/>
      <x:c r="M2" s="3"/>
      <x:c r="N2" s="3"/>
      <x:c r="O2" s="3"/>
      <x:c r="P2" s="3"/>
      <x:c r="Q2" s="3"/>
      <x:c r="R2" s="3"/>
      <x:c r="S2" s="3"/>
      <x:c r="T2" s="3"/>
      <x:c r="U2" s="3"/>
      <x:c r="V2" s="3"/>
      <x:c r="W2" s="3"/>
    </x:row>
    <x:row r="4" ht="34" customHeight="1">
      <x:c r="A4" s="16" t="str">
        <x:v>profile_id</x:v>
      </x:c>
      <x:c r="B4" s="17" t="str">
        <x:v>workflow</x:v>
      </x:c>
      <x:c r="C4" s="17" t="str">
        <x:v>sector</x:v>
      </x:c>
      <x:c r="D4" s="17" t="str">
        <x:v>seed_s5</x:v>
      </x:c>
      <x:c r="E4" s="17" t="str">
        <x:v>independent_s5</x:v>
      </x:c>
      <x:c r="F4" s="17" t="str">
        <x:v>owner_disposition</x:v>
      </x:c>
      <x:c r="G4" s="17" t="str">
        <x:v>domain_review_recommendation</x:v>
      </x:c>
      <x:c r="H4" s="17" t="str">
        <x:v>selected_s5</x:v>
      </x:c>
      <x:c r="I4" s="17" t="str">
        <x:v>recommended_low</x:v>
      </x:c>
      <x:c r="J4" s="17" t="str">
        <x:v>recommended_high</x:v>
      </x:c>
      <x:c r="K4" s="17" t="str">
        <x:v>adjudication_outcome</x:v>
      </x:c>
      <x:c r="L4" s="17" t="str">
        <x:v>adjudication_confidence</x:v>
      </x:c>
      <x:c r="M4" s="17" t="str">
        <x:v>next_independent_boundary</x:v>
      </x:c>
      <x:c r="N4" s="17" t="str">
        <x:v>bounded_direct_consequence</x:v>
      </x:c>
      <x:c r="O4" s="17" t="str">
        <x:v>excluded_later_consequences</x:v>
      </x:c>
      <x:c r="P4" s="17" t="str">
        <x:v>source_ids</x:v>
      </x:c>
      <x:c r="Q4" s="17" t="str">
        <x:v>source_gap</x:v>
      </x:c>
      <x:c r="R4" s="17" t="str">
        <x:v>unresolved_gap_ids</x:v>
      </x:c>
      <x:c r="S4" s="17" t="str">
        <x:v>human_expert_package_id</x:v>
      </x:c>
      <x:c r="T4" s="17" t="str">
        <x:v>canonical_approval_blocker</x:v>
      </x:c>
      <x:c r="U4" s="17" t="str">
        <x:v>draft_use_blocker</x:v>
      </x:c>
      <x:c r="V4" s="17" t="str">
        <x:v>draft_use_status</x:v>
      </x:c>
      <x:c r="W4" s="18" t="str">
        <x:v>notes</x:v>
      </x:c>
    </x:row>
    <x:row r="5" ht="120" customHeight="1">
      <x:c r="A5" s="26" t="str">
        <x:v>sp-0014</x:v>
      </x:c>
      <x:c r="B5" s="26" t="str">
        <x:v>Theory and system design</x:v>
      </x:c>
      <x:c r="C5" s="26" t="str">
        <x:v>Fusion, magnetic confinement</x:v>
      </x:c>
      <x:c r="D5" s="29" t="n">
        <x:v>3</x:v>
      </x:c>
      <x:c r="E5" s="29" t="n">
        <x:v>2</x:v>
      </x:c>
      <x:c r="F5" s="26"/>
      <x:c r="G5" s="26" t="str">
        <x:v>2-3</x:v>
      </x:c>
      <x:c r="H5" s="29"/>
      <x:c r="I5" s="29" t="n">
        <x:v>2</x:v>
      </x:c>
      <x:c r="J5" s="29" t="n">
        <x:v>3</x:v>
      </x:c>
      <x:c r="K5" s="26" t="str">
        <x:v>preserved_range</x:v>
      </x:c>
      <x:c r="L5" s="26" t="str">
        <x:v>low</x:v>
      </x:c>
      <x:c r="M5" s="26" t="str">
        <x:v>Independent subsystem design verification before fabrication release.</x:v>
      </x:c>
      <x:c r="N5" s="26" t="str">
        <x:v>Misdirected trade studies and subsystem engineering before design verification.</x:v>
      </x:c>
      <x:c r="O5" s="26" t="str">
        <x:v>Construction losses or operating accidents requiring later independent design, fabrication or commissioning assurance to fail.</x:v>
      </x:c>
      <x:c r="P5" s="26"/>
      <x:c r="Q5" s="26" t="str">
        <x:v>No canonical source establishes the receiving design authority, independence of its review, or the loss incurred before that review.</x:v>
      </x:c>
      <x:c r="R5" s="26"/>
      <x:c r="S5" s="26"/>
      <x:c r="T5" s="26" t="str">
        <x:v>source_or_boundary_evidence_gap;profile_population_and_owner_canonical_approval_not_performed</x:v>
      </x:c>
      <x:c r="U5" s="26" t="str">
        <x:v>none</x:v>
      </x:c>
      <x:c r="V5" s="26" t="str">
        <x:v>allowed_for_private_use_staged_wp2_and_public_pilot_only_as_EXPERT-CODED_DRAFT_with_range_confidence_gaps_visible</x:v>
      </x:c>
      <x:c r="W5" s="26" t="str">
        <x:v>Adopt the merged domain-review range. Reversible design rework may be cheap or material, and the assumed boundary is not verified.</x:v>
      </x:c>
    </x:row>
    <x:row r="6" ht="120" customHeight="1">
      <x:c r="A6" s="27" t="str">
        <x:v>sp-0015</x:v>
      </x:c>
      <x:c r="B6" s="27" t="str">
        <x:v>Simulation</x:v>
      </x:c>
      <x:c r="C6" s="27" t="str">
        <x:v>Fusion, magnetic confinement</x:v>
      </x:c>
      <x:c r="D6" s="30" t="n">
        <x:v>4</x:v>
      </x:c>
      <x:c r="E6" s="30" t="n">
        <x:v>3</x:v>
      </x:c>
      <x:c r="F6" s="27"/>
      <x:c r="G6" s="27" t="str">
        <x:v>3</x:v>
      </x:c>
      <x:c r="H6" s="30" t="n">
        <x:v>3</x:v>
      </x:c>
      <x:c r="I6" s="30"/>
      <x:c r="J6" s="30"/>
      <x:c r="K6" s="27" t="str">
        <x:v>selected_provisional</x:v>
      </x:c>
      <x:c r="L6" s="27" t="str">
        <x:v>medium</x:v>
      </x:c>
      <x:c r="M6" s="27" t="str">
        <x:v>Independent model/use validation before an experiment or engineering output is released.</x:v>
      </x:c>
      <x:c r="N6" s="27" t="str">
        <x:v>Wasted calculations and misdirected immediate design or experiment planning.</x:v>
      </x:c>
      <x:c r="O6" s="27" t="str">
        <x:v>Machine damage after an independent experiment-release or engineering verification failure; do not charge that damage again here.</x:v>
      </x:c>
      <x:c r="P6" s="27" t="str">
        <x:v>fusion-src-022;fusion-src-023</x:v>
      </x:c>
      <x:c r="Q6" s="27" t="str">
        <x:v>Canonical sources support narrow simulation use but do not verify the independent model/use-validation boundary or quantify escaped-error loss.</x:v>
      </x:c>
      <x:c r="R6" s="27"/>
      <x:c r="S6" s="27"/>
      <x:c r="T6" s="27" t="str">
        <x:v>source_or_boundary_evidence_gap;profile_population_and_owner_canonical_approval_not_performed</x:v>
      </x:c>
      <x:c r="U6" s="27" t="str">
        <x:v>none</x:v>
      </x:c>
      <x:c r="V6" s="27" t="str">
        <x:v>allowed_for_private_use_staged_wp2_and_public_pilot_only_as_EXPERT-CODED_DRAFT_with_range_confidence_gaps_visible</x:v>
      </x:c>
      <x:c r="W6" s="27" t="str">
        <x:v>Select the merged domain-review point 3: reruns are reversible, but a wrong output can directly misdirect immediate work before independent use validation.</x:v>
      </x:c>
    </x:row>
    <x:row r="7" ht="120" customHeight="1">
      <x:c r="A7" s="27" t="str">
        <x:v>sp-0020</x:v>
      </x:c>
      <x:c r="B7" s="27" t="str">
        <x:v>Materials qualification</x:v>
      </x:c>
      <x:c r="C7" s="27" t="str">
        <x:v>Fusion, magnetic confinement</x:v>
      </x:c>
      <x:c r="D7" s="30" t="n">
        <x:v>1</x:v>
      </x:c>
      <x:c r="E7" s="30" t="n">
        <x:v>0</x:v>
      </x:c>
      <x:c r="F7" s="27"/>
      <x:c r="G7" s="27" t="str">
        <x:v>0-1</x:v>
      </x:c>
      <x:c r="H7" s="30"/>
      <x:c r="I7" s="30" t="n">
        <x:v>0</x:v>
      </x:c>
      <x:c r="J7" s="30" t="n">
        <x:v>1</x:v>
      </x:c>
      <x:c r="K7" s="27" t="str">
        <x:v>preserved_range</x:v>
      </x:c>
      <x:c r="L7" s="27" t="str">
        <x:v>low</x:v>
      </x:c>
      <x:c r="M7" s="27" t="str">
        <x:v>Independent component-design/material acceptance before a qualification claim authorizes manufacture or service.</x:v>
      </x:c>
      <x:c r="N7" s="27" t="str">
        <x:v>Irrecoverable irradiation/examination loss and wrong immediate acceptance inputs before independent review.</x:v>
      </x:c>
      <x:c r="O7" s="27" t="str">
        <x:v>Plant accidents requiring independent component acceptance, fabrication, commissioning or operating safeguards to fail.</x:v>
      </x:c>
      <x:c r="P7" s="27" t="str">
        <x:v>fusion-src-045;fusion-src-046</x:v>
      </x:c>
      <x:c r="Q7" s="27" t="str">
        <x:v>gap-02 remains open: planned irradiation and examination do not establish completed accepted qualification or a verified independent material-acceptance boundary.</x:v>
      </x:c>
      <x:c r="R7" s="27" t="str">
        <x:v>gap-02</x:v>
      </x:c>
      <x:c r="S7" s="27" t="str">
        <x:v>EXP-FUS-02</x:v>
      </x:c>
      <x:c r="T7" s="27" t="str">
        <x:v>pending_named_expert;source_or_boundary_evidence_gap;profile_population_and_owner_canonical_approval_not_performed</x:v>
      </x:c>
      <x:c r="U7" s="27" t="str">
        <x:v>none</x:v>
      </x:c>
      <x:c r="V7" s="27" t="str">
        <x:v>allowed_for_private_use_staged_wp2_and_public_pilot_only_as_EXPERT-CODED_DRAFT_with_range_confidence_gaps_visible</x:v>
      </x:c>
      <x:c r="W7" s="27" t="str">
        <x:v>Preserve the merged 0-1 range pending named qualification review; do not treat a correctly failed specimen as an erroneous stage output or import later plant accidents.</x:v>
      </x:c>
    </x:row>
    <x:row r="8" ht="120" customHeight="1">
      <x:c r="A8" s="27" t="str">
        <x:v>sp-0023</x:v>
      </x:c>
      <x:c r="B8" s="27" t="str">
        <x:v>Plasma-facing components</x:v>
      </x:c>
      <x:c r="C8" s="27" t="str">
        <x:v>Fusion, magnetic confinement</x:v>
      </x:c>
      <x:c r="D8" s="30" t="n">
        <x:v>2</x:v>
      </x:c>
      <x:c r="E8" s="30" t="n">
        <x:v>1</x:v>
      </x:c>
      <x:c r="F8" s="27"/>
      <x:c r="G8" s="27" t="str">
        <x:v>1-2</x:v>
      </x:c>
      <x:c r="H8" s="30"/>
      <x:c r="I8" s="30" t="n">
        <x:v>1</x:v>
      </x:c>
      <x:c r="J8" s="30" t="n">
        <x:v>2</x:v>
      </x:c>
      <x:c r="K8" s="27" t="str">
        <x:v>preserved_range</x:v>
      </x:c>
      <x:c r="L8" s="27" t="str">
        <x:v>low</x:v>
      </x:c>
      <x:c r="M8" s="27" t="str">
        <x:v>Independent PFC design/test acceptance and receiving test-stand protection before integrated commissioning.</x:v>
      </x:c>
      <x:c r="N8" s="27" t="str">
        <x:v>Lost mock-ups, invalid exposure data and test-equipment consequences before independent acceptance/protection.</x:v>
      </x:c>
      <x:c r="O8" s="27" t="str">
        <x:v>Operating-plant contamination or damage requiring later independent integration and commissioning checks to fail.</x:v>
      </x:c>
      <x:c r="P8" s="27" t="str">
        <x:v>fusion-src-026</x:v>
      </x:c>
      <x:c r="Q8" s="27" t="str">
        <x:v>gap-03 remains open: planned exposure capability does not establish combined-environment qualification or a verified PFC acceptance/protection boundary.</x:v>
      </x:c>
      <x:c r="R8" s="27" t="str">
        <x:v>gap-03</x:v>
      </x:c>
      <x:c r="S8" s="27" t="str">
        <x:v>EXP-FUS-02</x:v>
      </x:c>
      <x:c r="T8" s="27" t="str">
        <x:v>pending_named_expert;source_or_boundary_evidence_gap;profile_population_and_owner_canonical_approval_not_performed</x:v>
      </x:c>
      <x:c r="U8" s="27" t="str">
        <x:v>none</x:v>
      </x:c>
      <x:c r="V8" s="27" t="str">
        <x:v>allowed_for_private_use_staged_wp2_and_public_pilot_only_as_EXPERT-CODED_DRAFT_with_range_confidence_gaps_visible</x:v>
      </x:c>
      <x:c r="W8" s="27" t="str">
        <x:v>Preserve the merged 1-2 range pending named PFC assurance review; the record does not resolve test-article loss versus later operating harm.</x:v>
      </x:c>
    </x:row>
    <x:row r="9" ht="120" customHeight="1">
      <x:c r="A9" s="27" t="str">
        <x:v>sp-0024</x:v>
      </x:c>
      <x:c r="B9" s="27" t="str">
        <x:v>Tritium and fuel cycle</x:v>
      </x:c>
      <x:c r="C9" s="27" t="str">
        <x:v>Fusion, magnetic confinement</x:v>
      </x:c>
      <x:c r="D9" s="30" t="n">
        <x:v>1</x:v>
      </x:c>
      <x:c r="E9" s="30" t="n">
        <x:v>0</x:v>
      </x:c>
      <x:c r="F9" s="27" t="str">
        <x:v>prefer_seed</x:v>
      </x:c>
      <x:c r="G9" s="27" t="str">
        <x:v>1</x:v>
      </x:c>
      <x:c r="H9" s="30" t="n">
        <x:v>1</x:v>
      </x:c>
      <x:c r="I9" s="30"/>
      <x:c r="J9" s="30"/>
      <x:c r="K9" s="27" t="str">
        <x:v>selected_provisional_pending_named_expert</x:v>
      </x:c>
      <x:c r="L9" s="27" t="str">
        <x:v>low</x:v>
      </x:c>
      <x:c r="M9" s="27" t="str">
        <x:v>Independent secondary confinement/isolation and separately verified inventory or release monitoring.</x:v>
      </x:c>
      <x:c r="N9" s="27" t="str">
        <x:v>Tritium loss, local contamination and invalid inventory results before independent containment/monitoring.</x:v>
      </x:c>
      <x:c r="O9" s="27" t="str">
        <x:v>Remote public or plant-wide cascades requiring additional independent confinement or operating failures.</x:v>
      </x:c>
      <x:c r="P9" s="27" t="str">
        <x:v>fusion-src-038;fusion-src-028</x:v>
      </x:c>
      <x:c r="Q9" s="27" t="str">
        <x:v>gap-04 remains open: no integrated self-sufficient fuel-cycle result or verified development confinement/accountancy boundary exists.</x:v>
      </x:c>
      <x:c r="R9" s="27" t="str">
        <x:v>gap-04</x:v>
      </x:c>
      <x:c r="S9" s="27" t="str">
        <x:v>EXP-FUS-03</x:v>
      </x:c>
      <x:c r="T9" s="27" t="str">
        <x:v>pending_named_expert;source_or_boundary_evidence_gap;profile_population_and_owner_canonical_approval_not_performed</x:v>
      </x:c>
      <x:c r="U9" s="27" t="str">
        <x:v>none</x:v>
      </x:c>
      <x:c r="V9" s="27" t="str">
        <x:v>allowed_for_private_use_staged_wp2_and_public_pilot_only_as_EXPERT-CODED_DRAFT_with_range_confidence_gaps_visible</x:v>
      </x:c>
      <x:c r="W9" s="27" t="str">
        <x:v>Select the owner-preferred and domain-reviewed point 1 provisionally; serious local loss or contamination is bounded by assumed secondary controls, which still require named review.</x:v>
      </x:c>
    </x:row>
    <x:row r="10" ht="120" customHeight="1">
      <x:c r="A10" s="27" t="str">
        <x:v>sp-0025</x:v>
      </x:c>
      <x:c r="B10" s="27" t="str">
        <x:v>Blankets</x:v>
      </x:c>
      <x:c r="C10" s="27" t="str">
        <x:v>Fusion, magnetic confinement</x:v>
      </x:c>
      <x:c r="D10" s="30" t="n">
        <x:v>1</x:v>
      </x:c>
      <x:c r="E10" s="30" t="n">
        <x:v>0</x:v>
      </x:c>
      <x:c r="F10" s="27" t="str">
        <x:v>prefer_seed</x:v>
      </x:c>
      <x:c r="G10" s="27" t="str">
        <x:v>1</x:v>
      </x:c>
      <x:c r="H10" s="30" t="n">
        <x:v>1</x:v>
      </x:c>
      <x:c r="I10" s="30"/>
      <x:c r="J10" s="30"/>
      <x:c r="K10" s="27" t="str">
        <x:v>selected_provisional_pending_named_expert</x:v>
      </x:c>
      <x:c r="L10" s="27" t="str">
        <x:v>low</x:v>
      </x:c>
      <x:c r="M10" s="27" t="str">
        <x:v>Independent test-module isolation/protection and subsequent blanket integration acceptance.</x:v>
      </x:c>
      <x:c r="N10" s="27" t="str">
        <x:v>Test-article damage, invalid breeding/thermal evidence and local material-release consequences before independent protection.</x:v>
      </x:c>
      <x:c r="O10" s="27" t="str">
        <x:v>Later plant heat-removal or fuel-cycle cascades requiring additional independent integration or operating failures.</x:v>
      </x:c>
      <x:c r="P10" s="27" t="str">
        <x:v>fusion-src-038;fusion-src-028</x:v>
      </x:c>
      <x:c r="Q10" s="27" t="str">
        <x:v>gap-05 remains open: future TBM plans do not establish qualified integrated blanket performance or a concept-specific independent test boundary.</x:v>
      </x:c>
      <x:c r="R10" s="27" t="str">
        <x:v>gap-05</x:v>
      </x:c>
      <x:c r="S10" s="27" t="str">
        <x:v>EXP-FUS-03</x:v>
      </x:c>
      <x:c r="T10" s="27" t="str">
        <x:v>pending_named_expert;source_or_boundary_evidence_gap;profile_population_and_owner_canonical_approval_not_performed</x:v>
      </x:c>
      <x:c r="U10" s="27" t="str">
        <x:v>none</x:v>
      </x:c>
      <x:c r="V10" s="27" t="str">
        <x:v>allowed_for_private_use_staged_wp2_and_public_pilot_only_as_EXPERT-CODED_DRAFT_with_range_confidence_gaps_visible</x:v>
      </x:c>
      <x:c r="W10" s="27" t="str">
        <x:v>Select the owner-preferred and domain-reviewed point 1 provisionally; direct test harm is serious but later plant cascades require separate failures.</x:v>
      </x:c>
    </x:row>
    <x:row r="11" ht="120" customHeight="1">
      <x:c r="A11" s="27" t="str">
        <x:v>sp-0028</x:v>
      </x:c>
      <x:c r="B11" s="27" t="str">
        <x:v>Commissioning</x:v>
      </x:c>
      <x:c r="C11" s="27" t="str">
        <x:v>Fusion, magnetic confinement</x:v>
      </x:c>
      <x:c r="D11" s="30" t="n">
        <x:v>1</x:v>
      </x:c>
      <x:c r="E11" s="30" t="n">
        <x:v>0</x:v>
      </x:c>
      <x:c r="F11" s="27" t="str">
        <x:v>prefer_seed</x:v>
      </x:c>
      <x:c r="G11" s="27" t="str">
        <x:v>1</x:v>
      </x:c>
      <x:c r="H11" s="30" t="n">
        <x:v>1</x:v>
      </x:c>
      <x:c r="I11" s="30"/>
      <x:c r="J11" s="30"/>
      <x:c r="K11" s="27" t="str">
        <x:v>selected_provisional_pending_named_expert</x:v>
      </x:c>
      <x:c r="L11" s="27" t="str">
        <x:v>low</x:v>
      </x:c>
      <x:c r="M11" s="27" t="str">
        <x:v>Independent startup interlocks and readiness-release hold points before the next energization/inventory step.</x:v>
      </x:c>
      <x:c r="N11" s="27" t="str">
        <x:v>Installed-equipment damage or local safety exposure before the independent startup controls act.</x:v>
      </x:c>
      <x:c r="O11" s="27" t="str">
        <x:v>Subsequent reliability or operating accidents requiring separate independent readiness/operating failures.</x:v>
      </x:c>
      <x:c r="P11" s="27" t="str">
        <x:v>fusion-src-033;fusion-src-034;fusion-src-036</x:v>
      </x:c>
      <x:c r="Q11" s="27" t="str">
        <x:v>gap-06 remains open: research-device milestones do not establish nuclear/tritium commissioning performance or independently verified pilot interlocks.</x:v>
      </x:c>
      <x:c r="R11" s="27" t="str">
        <x:v>gap-06</x:v>
      </x:c>
      <x:c r="S11" s="27" t="str">
        <x:v>EXP-FUS-04</x:v>
      </x:c>
      <x:c r="T11" s="27" t="str">
        <x:v>pending_named_expert;source_or_boundary_evidence_gap;profile_population_and_owner_canonical_approval_not_performed</x:v>
      </x:c>
      <x:c r="U11" s="27" t="str">
        <x:v>none</x:v>
      </x:c>
      <x:c r="V11" s="27" t="str">
        <x:v>allowed_for_private_use_staged_wp2_and_public_pilot_only_as_EXPERT-CODED_DRAFT_with_range_confidence_gaps_visible</x:v>
      </x:c>
      <x:c r="W11" s="27" t="str">
        <x:v>Select the owner-preferred and domain-reviewed point 1 provisionally; correctly discovered faults are informative, while erroneous startup can damage installed hardware before assumed controls act.</x:v>
      </x:c>
    </x:row>
    <x:row r="12" ht="120" customHeight="1">
      <x:c r="A12" s="27" t="str">
        <x:v>sp-0029</x:v>
      </x:c>
      <x:c r="B12" s="27" t="str">
        <x:v>Reliability demonstration</x:v>
      </x:c>
      <x:c r="C12" s="27" t="str">
        <x:v>Fusion, magnetic confinement</x:v>
      </x:c>
      <x:c r="D12" s="30" t="n">
        <x:v>1</x:v>
      </x:c>
      <x:c r="E12" s="30" t="n">
        <x:v>0</x:v>
      </x:c>
      <x:c r="F12" s="27" t="str">
        <x:v>prefer_seed</x:v>
      </x:c>
      <x:c r="G12" s="27" t="str">
        <x:v>1</x:v>
      </x:c>
      <x:c r="H12" s="30" t="n">
        <x:v>1</x:v>
      </x:c>
      <x:c r="I12" s="30"/>
      <x:c r="J12" s="30"/>
      <x:c r="K12" s="27" t="str">
        <x:v>selected_provisional_pending_named_expert</x:v>
      </x:c>
      <x:c r="L12" s="27" t="str">
        <x:v>low</x:v>
      </x:c>
      <x:c r="M12" s="27" t="str">
        <x:v>Independent machine protection during the test and independent reliability-evidence/readiness acceptance before operational release.</x:v>
      </x:c>
      <x:c r="N12" s="27" t="str">
        <x:v>Invalidated operating evidence, unsafe test conduct and false readiness inputs before independent acceptance/protection.</x:v>
      </x:c>
      <x:c r="O12" s="27" t="str">
        <x:v>Ordinary informative component failures; later operating cascades needing an independent readiness or safety failure.</x:v>
      </x:c>
      <x:c r="P12" s="27"/>
      <x:c r="Q12" s="27" t="str">
        <x:v>gap-07 remains open: no commercial reliability or availability result, accepted protocol, or verified readiness/protection boundary exists.</x:v>
      </x:c>
      <x:c r="R12" s="27" t="str">
        <x:v>gap-07</x:v>
      </x:c>
      <x:c r="S12" s="27" t="str">
        <x:v>EXP-FUS-04</x:v>
      </x:c>
      <x:c r="T12" s="27" t="str">
        <x:v>pending_named_expert;source_or_boundary_evidence_gap;profile_population_and_owner_canonical_approval_not_performed</x:v>
      </x:c>
      <x:c r="U12" s="27" t="str">
        <x:v>none</x:v>
      </x:c>
      <x:c r="V12" s="27" t="str">
        <x:v>allowed_for_private_use_staged_wp2_and_public_pilot_only_as_EXPERT-CODED_DRAFT_with_range_confidence_gaps_visible</x:v>
      </x:c>
      <x:c r="W12" s="27" t="str">
        <x:v>Select the owner-preferred and domain-reviewed point 1 provisionally; informative component failure is excluded, while erroneous test conduct or inference can waste irrecoverable evidence.</x:v>
      </x:c>
    </x:row>
    <x:row r="13" ht="120" customHeight="1">
      <x:c r="A13" s="27" t="str">
        <x:v>sp-0030</x:v>
      </x:c>
      <x:c r="B13" s="27" t="str">
        <x:v>Licensing</x:v>
      </x:c>
      <x:c r="C13" s="27" t="str">
        <x:v>Fusion, magnetic confinement</x:v>
      </x:c>
      <x:c r="D13" s="30" t="n">
        <x:v>2</x:v>
      </x:c>
      <x:c r="E13" s="30" t="n">
        <x:v>0</x:v>
      </x:c>
      <x:c r="F13" s="27" t="str">
        <x:v>preserve_disagreement</x:v>
      </x:c>
      <x:c r="G13" s="27" t="str">
        <x:v>0-2</x:v>
      </x:c>
      <x:c r="H13" s="30"/>
      <x:c r="I13" s="30" t="n">
        <x:v>0</x:v>
      </x:c>
      <x:c r="J13" s="30" t="n">
        <x:v>2</x:v>
      </x:c>
      <x:c r="K13" s="27" t="str">
        <x:v>preserved_disagreement</x:v>
      </x:c>
      <x:c r="L13" s="27" t="str">
        <x:v>low</x:v>
      </x:c>
      <x:c r="M13" s="27" t="str">
        <x:v>Jurisdiction-specific independent operating-readiness authorization or technical protection after licence decision; existence/independence unresolved.</x:v>
      </x:c>
      <x:c r="N13" s="27" t="str">
        <x:v>Unsafe authorization, unjustified restrictions and serious rework before a verified independent operating boundary.</x:v>
      </x:c>
      <x:c r="O13" s="27" t="str">
        <x:v>Remote plant/public harm that requires a separate independent operational safety failure; no assumed universal boundary.</x:v>
      </x:c>
      <x:c r="P13" s="27" t="str">
        <x:v>fusion-src-039;fusion-src-040;fusion-src-004</x:v>
      </x:c>
      <x:c r="Q13" s="27" t="str">
        <x:v>gap-08 remains open: legal status is known, but no comparable completed licensing case or verified jurisdiction-specific post-licence independent boundary exists.</x:v>
      </x:c>
      <x:c r="R13" s="27" t="str">
        <x:v>gap-08</x:v>
      </x:c>
      <x:c r="S13" s="27" t="str">
        <x:v>EXP-FUS-05</x:v>
      </x:c>
      <x:c r="T13" s="27" t="str">
        <x:v>pending_named_expert;source_or_boundary_evidence_gap;profile_population_and_owner_canonical_approval_not_performed</x:v>
      </x:c>
      <x:c r="U13" s="27" t="str">
        <x:v>none</x:v>
      </x:c>
      <x:c r="V13" s="27" t="str">
        <x:v>allowed_for_private_use_staged_wp2_and_public_pilot_only_as_EXPERT-CODED_DRAFT_with_range_confidence_gaps_visible</x:v>
      </x:c>
      <x:c r="W13" s="27" t="str">
        <x:v>Preserve the owner's 0-2 disagreement and the domain-review recommendation. Do not manufacture 1 as midpoint consensus across materially different boundary interpretations.</x:v>
      </x:c>
    </x:row>
    <x:row r="14" ht="120" customHeight="1">
      <x:c r="A14" s="28" t="str">
        <x:v>sp-0031</x:v>
      </x:c>
      <x:c r="B14" s="28" t="str">
        <x:v>Grid integration</x:v>
      </x:c>
      <x:c r="C14" s="28" t="str">
        <x:v>Fusion, magnetic confinement</x:v>
      </x:c>
      <x:c r="D14" s="31" t="n">
        <x:v>1</x:v>
      </x:c>
      <x:c r="E14" s="31" t="n">
        <x:v>0</x:v>
      </x:c>
      <x:c r="F14" s="28" t="str">
        <x:v>prefer_seed</x:v>
      </x:c>
      <x:c r="G14" s="28" t="str">
        <x:v>1</x:v>
      </x:c>
      <x:c r="H14" s="31" t="n">
        <x:v>1</x:v>
      </x:c>
      <x:c r="I14" s="31"/>
      <x:c r="J14" s="31"/>
      <x:c r="K14" s="28" t="str">
        <x:v>selected_provisional_pending_named_expert</x:v>
      </x:c>
      <x:c r="L14" s="28" t="str">
        <x:v>low</x:v>
      </x:c>
      <x:c r="M14" s="28" t="str">
        <x:v>Independent utility/plant protection and isolation at the agreed connection boundary.</x:v>
      </x:c>
      <x:c r="N14" s="28" t="str">
        <x:v>Local equipment damage and network disturbance before independent isolation/protection acts.</x:v>
      </x:c>
      <x:c r="O14" s="28" t="str">
        <x:v>Remote cascading outage or plant harm requiring subsequent independent network/plant protection failures.</x:v>
      </x:c>
      <x:c r="P14" s="28" t="str">
        <x:v>fusion-src-031</x:v>
      </x:c>
      <x:c r="Q14" s="28" t="str">
        <x:v>gap-09 remains open: no observed magnetic-confinement grid-export case or independently validated utility/plant protection architecture exists.</x:v>
      </x:c>
      <x:c r="R14" s="28" t="str">
        <x:v>gap-09</x:v>
      </x:c>
      <x:c r="S14" s="28" t="str">
        <x:v>EXP-FUS-06</x:v>
      </x:c>
      <x:c r="T14" s="28" t="str">
        <x:v>pending_named_expert;source_or_boundary_evidence_gap;profile_population_and_owner_canonical_approval_not_performed</x:v>
      </x:c>
      <x:c r="U14" s="28" t="str">
        <x:v>none</x:v>
      </x:c>
      <x:c r="V14" s="28" t="str">
        <x:v>allowed_for_private_use_staged_wp2_and_public_pilot_only_as_EXPERT-CODED_DRAFT_with_range_confidence_gaps_visible</x:v>
      </x:c>
      <x:c r="W14" s="28" t="str">
        <x:v>Select the owner-preferred and domain-reviewed point 1 provisionally; direct local equipment/network consequences count, while remote cascades require additional protection failures.</x:v>
      </x:c>
    </x:row>
  </x:sheetData>
  <x:mergeCells>
    <x:mergeCell ref="A1:W1"/>
    <x:mergeCell ref="A2:W2"/>
  </x:mergeCells>
  <x:pageMargins left="0.7" right="0.7" top="0.75" bottom="0.75" header="0.3" footer="0.3"/>
  <x:tableParts count="1">
    <x:tablePart xmlns:r="http://schemas.openxmlformats.org/officeDocument/2006/relationships" r:id="R13ddd43fce6b44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2" hidden="0" customWidth="1"/>
    <x:col min="5" max="5" width="12" hidden="0" customWidth="1"/>
    <x:col min="6" max="6" width="16" hidden="0" customWidth="1"/>
    <x:col min="7" max="7" width="16" hidden="0" customWidth="1"/>
    <x:col min="8" max="8" width="12" hidden="0" customWidth="1"/>
    <x:col min="9" max="9" width="12" hidden="0" customWidth="1"/>
    <x:col min="10" max="10" width="12" hidden="0" customWidth="1"/>
    <x:col min="11" max="11" width="28" hidden="0" customWidth="1"/>
    <x:col min="12" max="12" width="16" hidden="0" customWidth="1"/>
    <x:col min="13" max="13" width="36" hidden="0" customWidth="1"/>
    <x:col min="14" max="14" width="48" hidden="0" customWidth="1"/>
    <x:col min="15" max="15" width="48" hidden="0" customWidth="1"/>
    <x:col min="16" max="16" width="16" hidden="0" customWidth="1"/>
    <x:col min="17" max="17" width="48" hidden="0" customWidth="1"/>
    <x:col min="18" max="18" width="16" hidden="0" customWidth="1"/>
    <x:col min="19" max="19" width="16" hidden="0" customWidth="1"/>
    <x:col min="20" max="20" width="28" hidden="0" customWidth="1"/>
    <x:col min="21" max="21" width="16" hidden="0" customWidth="1"/>
    <x:col min="22" max="22" width="28" hidden="0" customWidth="1"/>
    <x:col min="23" max="23" width="48" hidden="0" customWidth="1"/>
  </x:cols>
  <x:sheetData>
    <x:row r="1" ht="30" customHeight="1">
      <x:c r="A1" s="5" t="str">
        <x:v>Unresolved point selection</x:v>
      </x:c>
      <x:c r="B1" s="3"/>
      <x:c r="C1" s="3"/>
      <x:c r="D1" s="3"/>
      <x:c r="E1" s="3"/>
      <x:c r="F1" s="3"/>
      <x:c r="G1" s="3"/>
      <x:c r="H1" s="3"/>
      <x:c r="I1" s="3"/>
      <x:c r="J1" s="3"/>
      <x:c r="K1" s="3"/>
      <x:c r="L1" s="3"/>
      <x:c r="M1" s="3"/>
      <x:c r="N1" s="3"/>
      <x:c r="O1" s="3"/>
      <x:c r="P1" s="3"/>
      <x:c r="Q1" s="3"/>
      <x:c r="R1" s="3"/>
      <x:c r="S1" s="3"/>
      <x:c r="T1" s="3"/>
      <x:c r="U1" s="3"/>
      <x:c r="V1" s="3"/>
      <x:c r="W1" s="3"/>
    </x:row>
    <x:row r="2" ht="38" customHeight="1">
      <x:c r="A2" s="7" t="str">
        <x:v>Seven adjudicated rows retain a range or disagreement; pending named review of selected provisional points is tracked separately as a canonical-approval blocker.</x:v>
      </x:c>
      <x:c r="B2" s="3"/>
      <x:c r="C2" s="3"/>
      <x:c r="D2" s="3"/>
      <x:c r="E2" s="3"/>
      <x:c r="F2" s="3"/>
      <x:c r="G2" s="3"/>
      <x:c r="H2" s="3"/>
      <x:c r="I2" s="3"/>
      <x:c r="J2" s="3"/>
      <x:c r="K2" s="3"/>
      <x:c r="L2" s="3"/>
      <x:c r="M2" s="3"/>
      <x:c r="N2" s="3"/>
      <x:c r="O2" s="3"/>
      <x:c r="P2" s="3"/>
      <x:c r="Q2" s="3"/>
      <x:c r="R2" s="3"/>
      <x:c r="S2" s="3"/>
      <x:c r="T2" s="3"/>
      <x:c r="U2" s="3"/>
      <x:c r="V2" s="3"/>
      <x:c r="W2" s="3"/>
    </x:row>
    <x:row r="4" ht="34" customHeight="1">
      <x:c r="A4" s="16" t="str">
        <x:v>profile_id</x:v>
      </x:c>
      <x:c r="B4" s="17" t="str">
        <x:v>workflow</x:v>
      </x:c>
      <x:c r="C4" s="17" t="str">
        <x:v>sector</x:v>
      </x:c>
      <x:c r="D4" s="17" t="str">
        <x:v>seed_s5</x:v>
      </x:c>
      <x:c r="E4" s="17" t="str">
        <x:v>independent_s5</x:v>
      </x:c>
      <x:c r="F4" s="17" t="str">
        <x:v>owner_disposition</x:v>
      </x:c>
      <x:c r="G4" s="17" t="str">
        <x:v>domain_review_recommendation</x:v>
      </x:c>
      <x:c r="H4" s="17" t="str">
        <x:v>selected_s5</x:v>
      </x:c>
      <x:c r="I4" s="17" t="str">
        <x:v>recommended_low</x:v>
      </x:c>
      <x:c r="J4" s="17" t="str">
        <x:v>recommended_high</x:v>
      </x:c>
      <x:c r="K4" s="17" t="str">
        <x:v>adjudication_outcome</x:v>
      </x:c>
      <x:c r="L4" s="17" t="str">
        <x:v>adjudication_confidence</x:v>
      </x:c>
      <x:c r="M4" s="17" t="str">
        <x:v>next_independent_boundary</x:v>
      </x:c>
      <x:c r="N4" s="17" t="str">
        <x:v>bounded_direct_consequence</x:v>
      </x:c>
      <x:c r="O4" s="17" t="str">
        <x:v>excluded_later_consequences</x:v>
      </x:c>
      <x:c r="P4" s="17" t="str">
        <x:v>source_ids</x:v>
      </x:c>
      <x:c r="Q4" s="17" t="str">
        <x:v>source_gap</x:v>
      </x:c>
      <x:c r="R4" s="17" t="str">
        <x:v>unresolved_gap_ids</x:v>
      </x:c>
      <x:c r="S4" s="17" t="str">
        <x:v>human_expert_package_id</x:v>
      </x:c>
      <x:c r="T4" s="17" t="str">
        <x:v>canonical_approval_blocker</x:v>
      </x:c>
      <x:c r="U4" s="17" t="str">
        <x:v>draft_use_blocker</x:v>
      </x:c>
      <x:c r="V4" s="17" t="str">
        <x:v>draft_use_status</x:v>
      </x:c>
      <x:c r="W4" s="18" t="str">
        <x:v>notes</x:v>
      </x:c>
    </x:row>
    <x:row r="5" ht="120" customHeight="1">
      <x:c r="A5" s="26" t="str">
        <x:v>sp-0011</x:v>
      </x:c>
      <x:c r="B5" s="26" t="str">
        <x:v>Production and process control</x:v>
      </x:c>
      <x:c r="C5" s="26" t="str">
        <x:v>Discrete manufacturing</x:v>
      </x:c>
      <x:c r="D5" s="29" t="n">
        <x:v>2</x:v>
      </x:c>
      <x:c r="E5" s="29" t="n">
        <x:v>1</x:v>
      </x:c>
      <x:c r="F5" s="26"/>
      <x:c r="G5" s="26"/>
      <x:c r="H5" s="29"/>
      <x:c r="I5" s="29" t="n">
        <x:v>1</x:v>
      </x:c>
      <x:c r="J5" s="29" t="n">
        <x:v>2</x:v>
      </x:c>
      <x:c r="K5" s="26" t="str">
        <x:v>preserved_range</x:v>
      </x:c>
      <x:c r="L5" s="26" t="str">
        <x:v>low</x:v>
      </x:c>
      <x:c r="M5" s="26" t="str">
        <x:v>Independent in-process stop or inspection and downstream quality-release control before the affected lot leaves controlled production.</x:v>
      </x:c>
      <x:c r="N5" s="26" t="str">
        <x:v>Scrap, rework, a bounded defective lot, localized equipment damage, or worker exposure before an independent stop or quality-release control acts.</x:v>
      </x:c>
      <x:c r="O5" s="26" t="str">
        <x:v>Customer or regulated-product harm requiring independent downstream quality release, traceability, or product-specific safety controls to fail.</x:v>
      </x:c>
      <x:c r="P5" s="26"/>
      <x:c r="Q5" s="26" t="str">
        <x:v>No exact-stage canonical source resolves the typical defect-lot, equipment, or safety consequence before independent process and quality controls in the frozen manufacturing scope.</x:v>
      </x:c>
      <x:c r="R5" s="26"/>
      <x:c r="S5" s="26" t="str">
        <x:v>EXP-MFG-01</x:v>
      </x:c>
      <x:c r="T5" s="26" t="str">
        <x:v>pending_named_expert;source_or_boundary_evidence_gap;profile_population_and_owner_canonical_approval_not_performed</x:v>
      </x:c>
      <x:c r="U5" s="26" t="str">
        <x:v>none</x:v>
      </x:c>
      <x:c r="V5" s="26" t="str">
        <x:v>allowed_for_private_use_staged_wp2_and_public_pilot_only_as_EXPERT-CODED_DRAFT_with_range_confidence_gaps_visible</x:v>
      </x:c>
      <x:c r="W5" s="26" t="str">
        <x:v>Preserve 1-2: the frozen scope admits both material contained process loss and low-tolerance equipment or safety consequences, and the record does not establish a representative independent boundary.</x:v>
      </x:c>
    </x:row>
    <x:row r="6" ht="120" customHeight="1">
      <x:c r="A6" s="27" t="str">
        <x:v>sp-0012</x:v>
      </x:c>
      <x:c r="B6" s="27" t="str">
        <x:v>Quality assurance</x:v>
      </x:c>
      <x:c r="C6" s="27" t="str">
        <x:v>Discrete manufacturing</x:v>
      </x:c>
      <x:c r="D6" s="30" t="n">
        <x:v>2</x:v>
      </x:c>
      <x:c r="E6" s="30" t="n">
        <x:v>1</x:v>
      </x:c>
      <x:c r="F6" s="27"/>
      <x:c r="G6" s="27"/>
      <x:c r="H6" s="30"/>
      <x:c r="I6" s="30" t="n">
        <x:v>1</x:v>
      </x:c>
      <x:c r="J6" s="30" t="n">
        <x:v>2</x:v>
      </x:c>
      <x:c r="K6" s="27" t="str">
        <x:v>preserved_range</x:v>
      </x:c>
      <x:c r="L6" s="27" t="str">
        <x:v>low</x:v>
      </x:c>
      <x:c r="M6" s="27" t="str">
        <x:v>Independent shipment-release review, downstream incoming inspection, or field traceability and containment control.</x:v>
      </x:c>
      <x:c r="N6" s="27" t="str">
        <x:v>False rejection and scrap, or release of a bounded defect population causing customer disruption and field containment before an independent downstream check acts.</x:v>
      </x:c>
      <x:c r="O6" s="27" t="str">
        <x:v>Safety-critical or regulated-product harm outside the frozen scope, and remote customer harm requiring later traceability, containment, or product-specific safety controls to fail.</x:v>
      </x:c>
      <x:c r="P6" s="27"/>
      <x:c r="Q6" s="27" t="str">
        <x:v>No exact-stage canonical source establishes a representative post-QA independent boundary, escape rate, defect-lot consequence, or containment performance.</x:v>
      </x:c>
      <x:c r="R6" s="27"/>
      <x:c r="S6" s="27" t="str">
        <x:v>EXP-MFG-01</x:v>
      </x:c>
      <x:c r="T6" s="27" t="str">
        <x:v>pending_named_expert;source_or_boundary_evidence_gap;profile_population_and_owner_canonical_approval_not_performed</x:v>
      </x:c>
      <x:c r="U6" s="27" t="str">
        <x:v>none</x:v>
      </x:c>
      <x:c r="V6" s="27" t="str">
        <x:v>allowed_for_private_use_staged_wp2_and_public_pilot_only_as_EXPERT-CODED_DRAFT_with_range_confidence_gaps_visible</x:v>
      </x:c>
      <x:c r="W6" s="27" t="str">
        <x:v>Preserve 1-2: false acceptance has direct externality, but the non-regulated frozen scope and variable post-QA boundary do not justify a single point.</x:v>
      </x:c>
    </x:row>
    <x:row r="7" ht="120" customHeight="1">
      <x:c r="A7" s="27" t="str">
        <x:v>sp-0013</x:v>
      </x:c>
      <x:c r="B7" s="27" t="str">
        <x:v>Maintenance and continuous improvement</x:v>
      </x:c>
      <x:c r="C7" s="27" t="str">
        <x:v>Discrete manufacturing</x:v>
      </x:c>
      <x:c r="D7" s="30" t="n">
        <x:v>2</x:v>
      </x:c>
      <x:c r="E7" s="30" t="n">
        <x:v>1</x:v>
      </x:c>
      <x:c r="F7" s="27"/>
      <x:c r="G7" s="27"/>
      <x:c r="H7" s="30"/>
      <x:c r="I7" s="30" t="n">
        <x:v>1</x:v>
      </x:c>
      <x:c r="J7" s="30" t="n">
        <x:v>2</x:v>
      </x:c>
      <x:c r="K7" s="27" t="str">
        <x:v>preserved_range</x:v>
      </x:c>
      <x:c r="L7" s="27" t="str">
        <x:v>low</x:v>
      </x:c>
      <x:c r="M7" s="27" t="str">
        <x:v>Independent post-maintenance functional or safety verification and restart authorization before sustained production resumes.</x:v>
      </x:c>
      <x:c r="N7" s="27" t="str">
        <x:v>Extended downtime, repeat repair, localized equipment damage, lost output, or bounded safety exposure before independent post-maintenance verification stops restart.</x:v>
      </x:c>
      <x:c r="O7" s="27" t="str">
        <x:v>Sustained production defects, wider worker or customer harm, and remote line cascades requiring restart verification and later process or quality controls to fail.</x:v>
      </x:c>
      <x:c r="P7" s="27"/>
      <x:c r="Q7" s="27" t="str">
        <x:v>No exact-stage canonical source resolves typical post-maintenance verification independence or the consequence distribution in the frozen manufacturing pathway.</x:v>
      </x:c>
      <x:c r="R7" s="27"/>
      <x:c r="S7" s="27" t="str">
        <x:v>EXP-MFG-01</x:v>
      </x:c>
      <x:c r="T7" s="27" t="str">
        <x:v>pending_named_expert;source_or_boundary_evidence_gap;profile_population_and_owner_canonical_approval_not_performed</x:v>
      </x:c>
      <x:c r="U7" s="27" t="str">
        <x:v>none</x:v>
      </x:c>
      <x:c r="V7" s="27" t="str">
        <x:v>allowed_for_private_use_staged_wp2_and_public_pilot_only_as_EXPERT-CODED_DRAFT_with_range_confidence_gaps_visible</x:v>
      </x:c>
      <x:c r="W7" s="27" t="str">
        <x:v>Preserve 1-2: direct physical and safety consequences can be serious, but isolation and independent restart checks often contain them; current rationales do not justify a universal point.</x:v>
      </x:c>
    </x:row>
    <x:row r="8" ht="120" customHeight="1">
      <x:c r="A8" s="27" t="str">
        <x:v>sp-0014</x:v>
      </x:c>
      <x:c r="B8" s="27" t="str">
        <x:v>Theory and system design</x:v>
      </x:c>
      <x:c r="C8" s="27" t="str">
        <x:v>Fusion, magnetic confinement</x:v>
      </x:c>
      <x:c r="D8" s="30" t="n">
        <x:v>3</x:v>
      </x:c>
      <x:c r="E8" s="30" t="n">
        <x:v>2</x:v>
      </x:c>
      <x:c r="F8" s="27"/>
      <x:c r="G8" s="27" t="str">
        <x:v>2-3</x:v>
      </x:c>
      <x:c r="H8" s="30"/>
      <x:c r="I8" s="30" t="n">
        <x:v>2</x:v>
      </x:c>
      <x:c r="J8" s="30" t="n">
        <x:v>3</x:v>
      </x:c>
      <x:c r="K8" s="27" t="str">
        <x:v>preserved_range</x:v>
      </x:c>
      <x:c r="L8" s="27" t="str">
        <x:v>low</x:v>
      </x:c>
      <x:c r="M8" s="27" t="str">
        <x:v>Independent subsystem design verification before fabrication release.</x:v>
      </x:c>
      <x:c r="N8" s="27" t="str">
        <x:v>Misdirected trade studies and subsystem engineering before design verification.</x:v>
      </x:c>
      <x:c r="O8" s="27" t="str">
        <x:v>Construction losses or operating accidents requiring later independent design, fabrication or commissioning assurance to fail.</x:v>
      </x:c>
      <x:c r="P8" s="27"/>
      <x:c r="Q8" s="27" t="str">
        <x:v>No canonical source establishes the receiving design authority, independence of its review, or the loss incurred before that review.</x:v>
      </x:c>
      <x:c r="R8" s="27"/>
      <x:c r="S8" s="27"/>
      <x:c r="T8" s="27" t="str">
        <x:v>source_or_boundary_evidence_gap;profile_population_and_owner_canonical_approval_not_performed</x:v>
      </x:c>
      <x:c r="U8" s="27" t="str">
        <x:v>none</x:v>
      </x:c>
      <x:c r="V8" s="27" t="str">
        <x:v>allowed_for_private_use_staged_wp2_and_public_pilot_only_as_EXPERT-CODED_DRAFT_with_range_confidence_gaps_visible</x:v>
      </x:c>
      <x:c r="W8" s="27" t="str">
        <x:v>Adopt the merged domain-review range. Reversible design rework may be cheap or material, and the assumed boundary is not verified.</x:v>
      </x:c>
    </x:row>
    <x:row r="9" ht="120" customHeight="1">
      <x:c r="A9" s="27" t="str">
        <x:v>sp-0020</x:v>
      </x:c>
      <x:c r="B9" s="27" t="str">
        <x:v>Materials qualification</x:v>
      </x:c>
      <x:c r="C9" s="27" t="str">
        <x:v>Fusion, magnetic confinement</x:v>
      </x:c>
      <x:c r="D9" s="30" t="n">
        <x:v>1</x:v>
      </x:c>
      <x:c r="E9" s="30" t="n">
        <x:v>0</x:v>
      </x:c>
      <x:c r="F9" s="27"/>
      <x:c r="G9" s="27" t="str">
        <x:v>0-1</x:v>
      </x:c>
      <x:c r="H9" s="30"/>
      <x:c r="I9" s="30" t="n">
        <x:v>0</x:v>
      </x:c>
      <x:c r="J9" s="30" t="n">
        <x:v>1</x:v>
      </x:c>
      <x:c r="K9" s="27" t="str">
        <x:v>preserved_range</x:v>
      </x:c>
      <x:c r="L9" s="27" t="str">
        <x:v>low</x:v>
      </x:c>
      <x:c r="M9" s="27" t="str">
        <x:v>Independent component-design/material acceptance before a qualification claim authorizes manufacture or service.</x:v>
      </x:c>
      <x:c r="N9" s="27" t="str">
        <x:v>Irrecoverable irradiation/examination loss and wrong immediate acceptance inputs before independent review.</x:v>
      </x:c>
      <x:c r="O9" s="27" t="str">
        <x:v>Plant accidents requiring independent component acceptance, fabrication, commissioning or operating safeguards to fail.</x:v>
      </x:c>
      <x:c r="P9" s="27" t="str">
        <x:v>fusion-src-045;fusion-src-046</x:v>
      </x:c>
      <x:c r="Q9" s="27" t="str">
        <x:v>gap-02 remains open: planned irradiation and examination do not establish completed accepted qualification or a verified independent material-acceptance boundary.</x:v>
      </x:c>
      <x:c r="R9" s="27" t="str">
        <x:v>gap-02</x:v>
      </x:c>
      <x:c r="S9" s="27" t="str">
        <x:v>EXP-FUS-02</x:v>
      </x:c>
      <x:c r="T9" s="27" t="str">
        <x:v>pending_named_expert;source_or_boundary_evidence_gap;profile_population_and_owner_canonical_approval_not_performed</x:v>
      </x:c>
      <x:c r="U9" s="27" t="str">
        <x:v>none</x:v>
      </x:c>
      <x:c r="V9" s="27" t="str">
        <x:v>allowed_for_private_use_staged_wp2_and_public_pilot_only_as_EXPERT-CODED_DRAFT_with_range_confidence_gaps_visible</x:v>
      </x:c>
      <x:c r="W9" s="27" t="str">
        <x:v>Preserve the merged 0-1 range pending named qualification review; do not treat a correctly failed specimen as an erroneous stage output or import later plant accidents.</x:v>
      </x:c>
    </x:row>
    <x:row r="10" ht="120" customHeight="1">
      <x:c r="A10" s="27" t="str">
        <x:v>sp-0023</x:v>
      </x:c>
      <x:c r="B10" s="27" t="str">
        <x:v>Plasma-facing components</x:v>
      </x:c>
      <x:c r="C10" s="27" t="str">
        <x:v>Fusion, magnetic confinement</x:v>
      </x:c>
      <x:c r="D10" s="30" t="n">
        <x:v>2</x:v>
      </x:c>
      <x:c r="E10" s="30" t="n">
        <x:v>1</x:v>
      </x:c>
      <x:c r="F10" s="27"/>
      <x:c r="G10" s="27" t="str">
        <x:v>1-2</x:v>
      </x:c>
      <x:c r="H10" s="30"/>
      <x:c r="I10" s="30" t="n">
        <x:v>1</x:v>
      </x:c>
      <x:c r="J10" s="30" t="n">
        <x:v>2</x:v>
      </x:c>
      <x:c r="K10" s="27" t="str">
        <x:v>preserved_range</x:v>
      </x:c>
      <x:c r="L10" s="27" t="str">
        <x:v>low</x:v>
      </x:c>
      <x:c r="M10" s="27" t="str">
        <x:v>Independent PFC design/test acceptance and receiving test-stand protection before integrated commissioning.</x:v>
      </x:c>
      <x:c r="N10" s="27" t="str">
        <x:v>Lost mock-ups, invalid exposure data and test-equipment consequences before independent acceptance/protection.</x:v>
      </x:c>
      <x:c r="O10" s="27" t="str">
        <x:v>Operating-plant contamination or damage requiring later independent integration and commissioning checks to fail.</x:v>
      </x:c>
      <x:c r="P10" s="27" t="str">
        <x:v>fusion-src-026</x:v>
      </x:c>
      <x:c r="Q10" s="27" t="str">
        <x:v>gap-03 remains open: planned exposure capability does not establish combined-environment qualification or a verified PFC acceptance/protection boundary.</x:v>
      </x:c>
      <x:c r="R10" s="27" t="str">
        <x:v>gap-03</x:v>
      </x:c>
      <x:c r="S10" s="27" t="str">
        <x:v>EXP-FUS-02</x:v>
      </x:c>
      <x:c r="T10" s="27" t="str">
        <x:v>pending_named_expert;source_or_boundary_evidence_gap;profile_population_and_owner_canonical_approval_not_performed</x:v>
      </x:c>
      <x:c r="U10" s="27" t="str">
        <x:v>none</x:v>
      </x:c>
      <x:c r="V10" s="27" t="str">
        <x:v>allowed_for_private_use_staged_wp2_and_public_pilot_only_as_EXPERT-CODED_DRAFT_with_range_confidence_gaps_visible</x:v>
      </x:c>
      <x:c r="W10" s="27" t="str">
        <x:v>Preserve the merged 1-2 range pending named PFC assurance review; the record does not resolve test-article loss versus later operating harm.</x:v>
      </x:c>
    </x:row>
    <x:row r="11" ht="120" customHeight="1">
      <x:c r="A11" s="28" t="str">
        <x:v>sp-0030</x:v>
      </x:c>
      <x:c r="B11" s="28" t="str">
        <x:v>Licensing</x:v>
      </x:c>
      <x:c r="C11" s="28" t="str">
        <x:v>Fusion, magnetic confinement</x:v>
      </x:c>
      <x:c r="D11" s="31" t="n">
        <x:v>2</x:v>
      </x:c>
      <x:c r="E11" s="31" t="n">
        <x:v>0</x:v>
      </x:c>
      <x:c r="F11" s="28" t="str">
        <x:v>preserve_disagreement</x:v>
      </x:c>
      <x:c r="G11" s="28" t="str">
        <x:v>0-2</x:v>
      </x:c>
      <x:c r="H11" s="31"/>
      <x:c r="I11" s="31" t="n">
        <x:v>0</x:v>
      </x:c>
      <x:c r="J11" s="31" t="n">
        <x:v>2</x:v>
      </x:c>
      <x:c r="K11" s="28" t="str">
        <x:v>preserved_disagreement</x:v>
      </x:c>
      <x:c r="L11" s="28" t="str">
        <x:v>low</x:v>
      </x:c>
      <x:c r="M11" s="28" t="str">
        <x:v>Jurisdiction-specific independent operating-readiness authorization or technical protection after licence decision; existence/independence unresolved.</x:v>
      </x:c>
      <x:c r="N11" s="28" t="str">
        <x:v>Unsafe authorization, unjustified restrictions and serious rework before a verified independent operating boundary.</x:v>
      </x:c>
      <x:c r="O11" s="28" t="str">
        <x:v>Remote plant/public harm that requires a separate independent operational safety failure; no assumed universal boundary.</x:v>
      </x:c>
      <x:c r="P11" s="28" t="str">
        <x:v>fusion-src-039;fusion-src-040;fusion-src-004</x:v>
      </x:c>
      <x:c r="Q11" s="28" t="str">
        <x:v>gap-08 remains open: legal status is known, but no comparable completed licensing case or verified jurisdiction-specific post-licence independent boundary exists.</x:v>
      </x:c>
      <x:c r="R11" s="28" t="str">
        <x:v>gap-08</x:v>
      </x:c>
      <x:c r="S11" s="28" t="str">
        <x:v>EXP-FUS-05</x:v>
      </x:c>
      <x:c r="T11" s="28" t="str">
        <x:v>pending_named_expert;source_or_boundary_evidence_gap;profile_population_and_owner_canonical_approval_not_performed</x:v>
      </x:c>
      <x:c r="U11" s="28" t="str">
        <x:v>none</x:v>
      </x:c>
      <x:c r="V11" s="28" t="str">
        <x:v>allowed_for_private_use_staged_wp2_and_public_pilot_only_as_EXPERT-CODED_DRAFT_with_range_confidence_gaps_visible</x:v>
      </x:c>
      <x:c r="W11" s="28" t="str">
        <x:v>Preserve the owner's 0-2 disagreement and the domain-review recommendation. Do not manufacture 1 as midpoint consensus across materially different boundary interpretations.</x:v>
      </x:c>
    </x:row>
  </x:sheetData>
  <x:mergeCells>
    <x:mergeCell ref="A1:W1"/>
    <x:mergeCell ref="A2:W2"/>
  </x:mergeCells>
  <x:pageMargins left="0.7" right="0.7" top="0.75" bottom="0.75" header="0.3" footer="0.3"/>
  <x:tableParts count="1">
    <x:tablePart xmlns:r="http://schemas.openxmlformats.org/officeDocument/2006/relationships" r:id="Rf0faf028f9b442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36" hidden="0" customWidth="1"/>
    <x:col min="4" max="4" width="16" hidden="0" customWidth="1"/>
    <x:col min="5" max="5" width="28" hidden="0" customWidth="1"/>
    <x:col min="6" max="6" width="48" hidden="0" customWidth="1"/>
    <x:col min="7" max="7" width="48" hidden="0" customWidth="1"/>
    <x:col min="8" max="8" width="16" hidden="0" customWidth="1"/>
    <x:col min="9" max="9" width="48" hidden="0" customWidth="1"/>
    <x:col min="10" max="10" width="16" hidden="0" customWidth="1"/>
    <x:col min="11" max="11" width="16" hidden="0" customWidth="1"/>
    <x:col min="12" max="12" width="16" hidden="0" customWidth="1"/>
    <x:col min="13" max="13" width="16" hidden="0" customWidth="1"/>
    <x:col min="14" max="14" width="28" hidden="0" customWidth="1"/>
    <x:col min="15" max="15" width="16" hidden="0" customWidth="1"/>
    <x:col min="16" max="16" width="28" hidden="0" customWidth="1"/>
    <x:col min="17" max="17" width="36" hidden="0" customWidth="1"/>
    <x:col min="18" max="18" width="48" hidden="0" customWidth="1"/>
  </x:cols>
  <x:sheetData>
    <x:row r="1" ht="30" customHeight="1">
      <x:c r="A1" s="5" t="str">
        <x:v>Three-anchor human review plan</x:v>
      </x:c>
      <x:c r="B1" s="3"/>
      <x:c r="C1" s="3"/>
      <x:c r="D1" s="3"/>
      <x:c r="E1" s="3"/>
      <x:c r="F1" s="3"/>
      <x:c r="G1" s="3"/>
      <x:c r="H1" s="3"/>
      <x:c r="I1" s="3"/>
      <x:c r="J1" s="3"/>
      <x:c r="K1" s="3"/>
      <x:c r="L1" s="3"/>
      <x:c r="M1" s="3"/>
      <x:c r="N1" s="3"/>
      <x:c r="O1" s="3"/>
      <x:c r="P1" s="3"/>
      <x:c r="Q1" s="3"/>
      <x:c r="R1" s="3"/>
    </x:row>
    <x:row r="2" ht="38" customHeight="1">
      <x:c r="A2" s="7" t="str">
        <x:v>Six retained fusion outreach packages plus one software and one manufacturing package. These block canonical approval, not staged WP2 or visibly labelled draft display.</x:v>
      </x:c>
      <x:c r="B2" s="3"/>
      <x:c r="C2" s="3"/>
      <x:c r="D2" s="3"/>
      <x:c r="E2" s="3"/>
      <x:c r="F2" s="3"/>
      <x:c r="G2" s="3"/>
      <x:c r="H2" s="3"/>
      <x:c r="I2" s="3"/>
      <x:c r="J2" s="3"/>
      <x:c r="K2" s="3"/>
      <x:c r="L2" s="3"/>
      <x:c r="M2" s="3"/>
      <x:c r="N2" s="3"/>
      <x:c r="O2" s="3"/>
      <x:c r="P2" s="3"/>
      <x:c r="Q2" s="3"/>
      <x:c r="R2" s="3"/>
    </x:row>
    <x:row r="4" ht="34" customHeight="1">
      <x:c r="A4" s="16" t="str">
        <x:v>expert_package_id</x:v>
      </x:c>
      <x:c r="B4" s="17" t="str">
        <x:v>sector</x:v>
      </x:c>
      <x:c r="C4" s="17" t="str">
        <x:v>theme</x:v>
      </x:c>
      <x:c r="D4" s="17" t="str">
        <x:v>profile_ids</x:v>
      </x:c>
      <x:c r="E4" s="17" t="str">
        <x:v>dimension_cells</x:v>
      </x:c>
      <x:c r="F4" s="17" t="str">
        <x:v>review_questions</x:v>
      </x:c>
      <x:c r="G4" s="17" t="str">
        <x:v>why_load_bearing</x:v>
      </x:c>
      <x:c r="H4" s="17" t="str">
        <x:v>source_ids</x:v>
      </x:c>
      <x:c r="I4" s="17" t="str">
        <x:v>requested_expertise</x:v>
      </x:c>
      <x:c r="J4" s="17" t="str">
        <x:v>named_reviewer</x:v>
      </x:c>
      <x:c r="K4" s="17" t="str">
        <x:v>status</x:v>
      </x:c>
      <x:c r="L4" s="17" t="str">
        <x:v>open_gap_ids</x:v>
      </x:c>
      <x:c r="M4" s="17" t="str">
        <x:v>open_gap_status</x:v>
      </x:c>
      <x:c r="N4" s="17" t="str">
        <x:v>canonical_approval_blocker</x:v>
      </x:c>
      <x:c r="O4" s="17" t="str">
        <x:v>draft_use_blocker</x:v>
      </x:c>
      <x:c r="P4" s="17" t="str">
        <x:v>draft_use_status</x:v>
      </x:c>
      <x:c r="Q4" s="17" t="str">
        <x:v>pursuit_timing</x:v>
      </x:c>
      <x:c r="R4" s="18" t="str">
        <x:v>notes</x:v>
      </x:c>
    </x:row>
    <x:row r="5" ht="220" customHeight="1">
      <x:c r="A5" s="26" t="str">
        <x:v>EXP-FUS-01</x:v>
      </x:c>
      <x:c r="B5" s="26" t="str">
        <x:v>Fusion, magnetic confinement</x:v>
      </x:c>
      <x:c r="C5" s="26" t="str">
        <x:v>Experiment campaigns, plasma control and machine protection</x:v>
      </x:c>
      <x:c r="D5" s="26" t="str">
        <x:v>sp-0016;sp-0018</x:v>
      </x:c>
      <x:c r="E5" s="26" t="str">
        <x:v>sp-0016/S2;sp-0018/S5</x:v>
      </x:c>
      <x:c r="F5" s="26" t="str">
        <x:v>For a representative pilot-relevant tokamak campaign, what is the ordinary selection-to-result-to-revision loop, and does the documented cadence support 1 or 2? | At the pilot-relevant stored-energy and disruption envelope, what damage can an erroneous control output cause before independently verified machine protection acts?</x:v>
      </x:c>
      <x:c r="G5" s="26" t="str">
        <x:v>The owner prefers 1, but adjacent control papers do not resolve the elapsed selection feedback or the missing AI effect. | Small-device proof of concept cannot establish the consequence boundary or support a universal 1.</x:v>
      </x:c>
      <x:c r="H5" s="26" t="str">
        <x:v>fusion-src-018;fusion-src-019;fusion-src-024;fusion-src-008;fusion-src-020</x:v>
      </x:c>
      <x:c r="I5" s="26" t="str">
        <x:v>Named tokamak experimental programme or campaign scientist;Named tokamak plasma-control and machine-protection engineer</x:v>
      </x:c>
      <x:c r="J5" s="26" t="str">
        <x:v>missing</x:v>
      </x:c>
      <x:c r="K5" s="26" t="str">
        <x:v>pending_named_specialist</x:v>
      </x:c>
      <x:c r="L5" s="26" t="str">
        <x:v>gap-01</x:v>
      </x:c>
      <x:c r="M5" s="26" t="str">
        <x:v>open</x:v>
      </x:c>
      <x:c r="N5" s="26" t="str">
        <x:v>true</x:v>
      </x:c>
      <x:c r="O5" s="26" t="str">
        <x:v>false</x:v>
      </x:c>
      <x:c r="P5" s="26" t="str">
        <x:v>allowed for private use, staged WP2, and a public pilot only as EXPERT-CODED · DRAFT with range, confidence, gaps, and review status visible</x:v>
      </x:c>
      <x:c r="Q5" s="26" t="str">
        <x:v>before canonical approval; not before staged WP2 or labelled draft display</x:v>
      </x:c>
      <x:c r="R5" s="26" t="str">
        <x:v>Retained unchanged from the merged fusion domain review; package-level coordination does not merge away its exact cell questions.</x:v>
      </x:c>
    </x:row>
    <x:row r="6" ht="220" customHeight="1">
      <x:c r="A6" s="27" t="str">
        <x:v>EXP-FUS-02</x:v>
      </x:c>
      <x:c r="B6" s="27" t="str">
        <x:v>Fusion, magnetic confinement</x:v>
      </x:c>
      <x:c r="C6" s="27" t="str">
        <x:v>Materials qualification and plasma-facing components</x:v>
      </x:c>
      <x:c r="D6" s="27" t="str">
        <x:v>sp-0020;sp-0023</x:v>
      </x:c>
      <x:c r="E6" s="27" t="str">
        <x:v>sp-0020/S3;sp-0020/S5;sp-0023/S4;sp-0023/S5</x:v>
      </x:c>
      <x:c r="F6" s="27" t="str">
        <x:v>Which material and pilot load envelope can the planned IFMIF-DONES specimen matrix represent, and how do spectrum/transmutation mismatch and accepted examinations limit useful parallel throughput? | Which losses from an invalid irradiation or examination programme are irreversible before independent component/material acceptance, and what qualification claims can escape that boundary? | Which neutron, heat-flux, thermal-cycling, erosion and maintainability exposures must occur inside the frozen PFC development stage, and can sequential tests represent their combined effects? | What can an erroneous PFC development test or acceptance claim damage before the next independent acceptance/protection boundary, excluding failures discovered by a correctly conducted test?</x:v>
      </x:c>
      <x:c r="G6" s="27" t="str">
        <x:v>Planned specimen capacity cannot be equated with accepted qualification throughput across materials. | The 0-1 disagreement depends on evidence loss and a real acceptance boundary, not a generic downstream accident. | The evidence cannot establish whether the dominant physical floor warrants 0 or 1, and formal qualification must remain a separate stage. | This determines whether 1 or 2 is justified without charging later operational failures to development.</x:v>
      </x:c>
      <x:c r="H6" s="27" t="str">
        <x:v>fusion-src-045;fusion-src-046;fusion-src-026</x:v>
      </x:c>
      <x:c r="I6" s="27" t="str">
        <x:v>Named fusion irradiation/materials-qualification specialist;Named fusion materials-qualification and assurance specialist;Named plasma-facing component and plasma-material interaction specialist;Named PFC test/qualification assurance engineer</x:v>
      </x:c>
      <x:c r="J6" s="27" t="str">
        <x:v>missing</x:v>
      </x:c>
      <x:c r="K6" s="27" t="str">
        <x:v>pending_named_specialist</x:v>
      </x:c>
      <x:c r="L6" s="27" t="str">
        <x:v>gap-02;gap-03</x:v>
      </x:c>
      <x:c r="M6" s="27" t="str">
        <x:v>open</x:v>
      </x:c>
      <x:c r="N6" s="27" t="str">
        <x:v>true</x:v>
      </x:c>
      <x:c r="O6" s="27" t="str">
        <x:v>false</x:v>
      </x:c>
      <x:c r="P6" s="27" t="str">
        <x:v>allowed for private use, staged WP2, and a public pilot only as EXPERT-CODED · DRAFT with range, confidence, gaps, and review status visible</x:v>
      </x:c>
      <x:c r="Q6" s="27" t="str">
        <x:v>before canonical approval; not before staged WP2 or labelled draft display</x:v>
      </x:c>
      <x:c r="R6" s="27" t="str">
        <x:v>Retained unchanged from the merged fusion domain review; package-level coordination does not merge away its exact cell questions.</x:v>
      </x:c>
    </x:row>
    <x:row r="7" ht="220" customHeight="1">
      <x:c r="A7" s="27" t="str">
        <x:v>EXP-FUS-03</x:v>
      </x:c>
      <x:c r="B7" s="27" t="str">
        <x:v>Fusion, magnetic confinement</x:v>
      </x:c>
      <x:c r="C7" s="27" t="str">
        <x:v>Tritium and blankets</x:v>
      </x:c>
      <x:c r="D7" s="27" t="str">
        <x:v>sp-0024;sp-0025</x:v>
      </x:c>
      <x:c r="E7" s="27" t="str">
        <x:v>sp-0024/S4;sp-0024/S5;sp-0025/S2;sp-0025/S5</x:v>
      </x:c>
      <x:c r="F7" s="27" t="str">
        <x:v>For the intended fuel-cycle subsystem tests, which retention, permeation, equilibration or residence processes impose irreducible duration, separately from authorization and facility-access delays? | What tritium inventory loss or release is reasonably foreseeable before independently verified secondary confinement and accountancy controls act in this development scope? | For the specified blanket concept, does each decision-relevant development revision require integrated fusion-environment validation, or can representative subcomponent tests close an ordinary revision? | For that blanket concept, which erroneous development outputs can cause direct chemical, radiological or equipment harm before independent test isolation and integration acceptance?</x:v>
      </x:c>
      <x:c r="G7" s="27" t="str">
        <x:v>Without this separation, institutional constraints are incorrectly counted as intrinsic S4 time floors. | The owner preference of 1 cannot become an approved consequence judgment without a specific inventory and independent boundary. | This tests the owner's 0 preference against the frozen development scope without calling future TBM operation completed qualification. | Blanket concepts have different hazards, and neither generic catastrophic language nor complete containment is justified.</x:v>
      </x:c>
      <x:c r="H7" s="27" t="str">
        <x:v>fusion-src-038;fusion-src-028</x:v>
      </x:c>
      <x:c r="I7" s="27" t="str">
        <x:v>Named tritium-processing and fuel-cycle engineer;Named tritium confinement, accountancy and radiological-safety specialist;Named blanket systems and breeding-validation specialist;Named blanket engineering and test-safety specialist</x:v>
      </x:c>
      <x:c r="J7" s="27" t="str">
        <x:v>missing</x:v>
      </x:c>
      <x:c r="K7" s="27" t="str">
        <x:v>pending_named_specialist</x:v>
      </x:c>
      <x:c r="L7" s="27" t="str">
        <x:v>gap-04;gap-05</x:v>
      </x:c>
      <x:c r="M7" s="27" t="str">
        <x:v>open</x:v>
      </x:c>
      <x:c r="N7" s="27" t="str">
        <x:v>true</x:v>
      </x:c>
      <x:c r="O7" s="27" t="str">
        <x:v>false</x:v>
      </x:c>
      <x:c r="P7" s="27" t="str">
        <x:v>allowed for private use, staged WP2, and a public pilot only as EXPERT-CODED · DRAFT with range, confidence, gaps, and review status visible</x:v>
      </x:c>
      <x:c r="Q7" s="27" t="str">
        <x:v>before canonical approval; not before staged WP2 or labelled draft display</x:v>
      </x:c>
      <x:c r="R7" s="27" t="str">
        <x:v>Retained unchanged from the merged fusion domain review; package-level coordination does not merge away its exact cell questions.</x:v>
      </x:c>
    </x:row>
    <x:row r="8" ht="220" customHeight="1">
      <x:c r="A8" s="27" t="str">
        <x:v>EXP-FUS-04</x:v>
      </x:c>
      <x:c r="B8" s="27" t="str">
        <x:v>Fusion, magnetic confinement</x:v>
      </x:c>
      <x:c r="C8" s="27" t="str">
        <x:v>Commissioning and reliability</x:v>
      </x:c>
      <x:c r="D8" s="27" t="str">
        <x:v>sp-0028;sp-0029</x:v>
      </x:c>
      <x:c r="E8" s="27" t="str">
        <x:v>sp-0028/S5;sp-0029/S2;sp-0029/S5</x:v>
      </x:c>
      <x:c r="F8" s="27" t="str">
        <x:v>During pilot nuclear/tritium commissioning, what direct harm from an erroneous startup or interface check can occur before independently verified interlocks and readiness hold points act? | What specific pilot reliability or availability claim, exposure requirement and failure/repair criterion defines completion, and what ordinary learn-demonstrate-revise interval follows? | Which errors in reliability-test conduct or inference can escape to cause harm before independent machine protection and readiness acceptance, distinct from component failures the test is meant to reveal?</x:v>
      </x:c>
      <x:c r="G8" s="27" t="str">
        <x:v>Low-power research-device first plasma does not validate the pilot boundary supporting owner 1. | Pulse duration cannot establish a years-scale feedback claim, and the frozen profile does not name the reliability target. | This prevents both over-counting informative failures as catastrophic errors and understating false assurance.</x:v>
      </x:c>
      <x:c r="H8" s="27" t="str">
        <x:v>fusion-src-033;fusion-src-034;fusion-src-036;fusion-src-011;fusion-src-032</x:v>
      </x:c>
      <x:c r="I8" s="27" t="str">
        <x:v>Named fusion commissioning and nuclear/tritium systems-safety engineer;Named fusion reliability/availability and maintainability specialist;Named reliability demonstration and operational-assurance specialist</x:v>
      </x:c>
      <x:c r="J8" s="27" t="str">
        <x:v>missing</x:v>
      </x:c>
      <x:c r="K8" s="27" t="str">
        <x:v>pending_named_specialist</x:v>
      </x:c>
      <x:c r="L8" s="27" t="str">
        <x:v>gap-06;gap-07</x:v>
      </x:c>
      <x:c r="M8" s="27" t="str">
        <x:v>open</x:v>
      </x:c>
      <x:c r="N8" s="27" t="str">
        <x:v>true</x:v>
      </x:c>
      <x:c r="O8" s="27" t="str">
        <x:v>false</x:v>
      </x:c>
      <x:c r="P8" s="27" t="str">
        <x:v>allowed for private use, staged WP2, and a public pilot only as EXPERT-CODED · DRAFT with range, confidence, gaps, and review status visible</x:v>
      </x:c>
      <x:c r="Q8" s="27" t="str">
        <x:v>before canonical approval; not before staged WP2 or labelled draft display</x:v>
      </x:c>
      <x:c r="R8" s="27" t="str">
        <x:v>Retained unchanged from the merged fusion domain review; package-level coordination does not merge away its exact cell questions.</x:v>
      </x:c>
    </x:row>
    <x:row r="9" ht="220" customHeight="1">
      <x:c r="A9" s="27" t="str">
        <x:v>EXP-FUS-05</x:v>
      </x:c>
      <x:c r="B9" s="27" t="str">
        <x:v>Fusion, magnetic confinement</x:v>
      </x:c>
      <x:c r="C9" s="27" t="str">
        <x:v>Licensing and regulation</x:v>
      </x:c>
      <x:c r="D9" s="27" t="str">
        <x:v>sp-0030</x:v>
      </x:c>
      <x:c r="E9" s="27" t="str">
        <x:v>sp-0030/S2;sp-0030/S3;sp-0030/S5</x:v>
      </x:c>
      <x:c r="F9" s="27" t="str">
        <x:v>Which jurisdiction-specific application, review and response stages define the ordinary fusion pilot licensing loop, and is any shared 0-1 recommendation defensible without a completed comparable case? | For that licensing regime, what counts as a formal attempt, what does it cost, and which parts of application preparation and substantive review can proceed in parallel? | What direct consequence can an erroneous fusion pilot licence or safety-case acceptance cause before the next genuinely independent operating authorization or technical control in that jurisdiction?</x:v>
      </x:c>
      <x:c r="G9" s="27" t="str">
        <x:v>The owner withheld selection; rulemaking intervals cannot resolve licensing feedback speed. | Cheap drafts and scarce formal reviews imply different S3 judgments; legal status supplies neither cost nor throughput. | The unresolved owner 0-2 interval depends on the actual legal and technical boundary; a midpoint would be fabricated consensus.</x:v>
      </x:c>
      <x:c r="H9" s="27" t="str">
        <x:v>fusion-src-039;fusion-src-040;fusion-src-004</x:v>
      </x:c>
      <x:c r="I9" s="27" t="str">
        <x:v>Named fusion regulatory specialist for the applicable jurisdiction; qualified Chinese legal reviewer for PRC wording;Named fusion licensing practitioner with application and regulator-review experience;Named fusion regulatory/safety-case specialist; qualified native-language legal expertise where applicable</x:v>
      </x:c>
      <x:c r="J9" s="27" t="str">
        <x:v>missing</x:v>
      </x:c>
      <x:c r="K9" s="27" t="str">
        <x:v>pending_named_specialist</x:v>
      </x:c>
      <x:c r="L9" s="27" t="str">
        <x:v>gap-08</x:v>
      </x:c>
      <x:c r="M9" s="27" t="str">
        <x:v>open</x:v>
      </x:c>
      <x:c r="N9" s="27" t="str">
        <x:v>true</x:v>
      </x:c>
      <x:c r="O9" s="27" t="str">
        <x:v>false</x:v>
      </x:c>
      <x:c r="P9" s="27" t="str">
        <x:v>allowed for private use, staged WP2, and a public pilot only as EXPERT-CODED · DRAFT with range, confidence, gaps, and review status visible</x:v>
      </x:c>
      <x:c r="Q9" s="27" t="str">
        <x:v>before canonical approval; not before staged WP2 or labelled draft display</x:v>
      </x:c>
      <x:c r="R9" s="27" t="str">
        <x:v>Retained unchanged from the merged fusion domain review; package-level coordination does not merge away its exact cell questions.</x:v>
      </x:c>
    </x:row>
    <x:row r="10" ht="220" customHeight="1">
      <x:c r="A10" s="27" t="str">
        <x:v>EXP-FUS-06</x:v>
      </x:c>
      <x:c r="B10" s="27" t="str">
        <x:v>Fusion, magnetic confinement</x:v>
      </x:c>
      <x:c r="C10" s="27" t="str">
        <x:v>Grid integration and protection</x:v>
      </x:c>
      <x:c r="D10" s="27" t="str">
        <x:v>sp-0031</x:v>
      </x:c>
      <x:c r="E10" s="27" t="str">
        <x:v>sp-0031/S3;sp-0031/S4;sp-0031/S5</x:v>
      </x:c>
      <x:c r="F10" s="27" t="str">
        <x:v>For a concrete pilot site, which connection assets are reused or new, and what are the marginal cost and attainable repetition of studies versus energized integrated tests? | Which physical installation, connection and energization steps are unavoidable at that site, separately from equipment procurement queues, outage booking and regulatory waits? | What direct equipment or network consequences can incorrect pilot protection or energization cause before independently coordinated utility and plant protection isolate the fault?</x:v>
      </x:c>
      <x:c r="G10" s="27" t="str">
        <x:v>The owner preserves 0-1 because no comparable fusion-grid case defines the decisive attempt set. | Greenfield versus reused infrastructure can change the physical topology and the 0-1 recommendation. | Owner 1 depends on a real protection boundary that no observed fusion export case currently validates.</x:v>
      </x:c>
      <x:c r="H10" s="27" t="str">
        <x:v>fusion-src-031</x:v>
      </x:c>
      <x:c r="I10" s="27" t="str">
        <x:v>Named grid-interconnection and power-plant electrical engineer;Named grid connection/construction and commissioning engineer;Named power-system protection and grid-integration safety engineer</x:v>
      </x:c>
      <x:c r="J10" s="27" t="str">
        <x:v>missing</x:v>
      </x:c>
      <x:c r="K10" s="27" t="str">
        <x:v>pending_named_specialist</x:v>
      </x:c>
      <x:c r="L10" s="27" t="str">
        <x:v>gap-09</x:v>
      </x:c>
      <x:c r="M10" s="27" t="str">
        <x:v>open</x:v>
      </x:c>
      <x:c r="N10" s="27" t="str">
        <x:v>true</x:v>
      </x:c>
      <x:c r="O10" s="27" t="str">
        <x:v>false</x:v>
      </x:c>
      <x:c r="P10" s="27" t="str">
        <x:v>allowed for private use, staged WP2, and a public pilot only as EXPERT-CODED · DRAFT with range, confidence, gaps, and review status visible</x:v>
      </x:c>
      <x:c r="Q10" s="27" t="str">
        <x:v>before canonical approval; not before staged WP2 or labelled draft display</x:v>
      </x:c>
      <x:c r="R10" s="27" t="str">
        <x:v>Retained unchanged from the merged fusion domain review; package-level coordination does not merge away its exact cell questions.</x:v>
      </x:c>
    </x:row>
    <x:row r="11" ht="220" customHeight="1">
      <x:c r="A11" s="27" t="str">
        <x:v>EXP-SW-01</x:v>
      </x:c>
      <x:c r="B11" s="27" t="str">
        <x:v>Software engineering</x:v>
      </x:c>
      <x:c r="C11" s="27" t="str">
        <x:v>Mature production-software architecture, verification, deployment, and SRE/operations</x:v>
      </x:c>
      <x:c r="D11" s="27" t="str">
        <x:v>sp-0001;sp-0002;sp-0003;sp-0004;sp-0005</x:v>
      </x:c>
      <x:c r="E11" s="27" t="str">
        <x:v>sp-0001/S5;sp-0002/S5;sp-0003/S5;sp-0004/S5;sp-0005/S5</x:v>
      </x:c>
      <x:c r="F11" s="27" t="str">
        <x:v>For each frozen mature non-safety-critical software stage, where is the next genuinely independent design, verification, release, monitoring, rollback, or incident-control boundary; what can it detect, what authority can halt progression, when does it act, and what direct consequence occurs before it? Do the provisional S5 points 3, 3, 2, 1, and 1 remain justified without counting later control failures twice?</x:v>
      </x:c>
      <x:c r="G11" s="27" t="str">
        <x:v>All five rows lack exact-stage canonical support, and independence may be weakened when implementation, tests, telemetry, deployment automation, and incident response share assumptions or failure modes.</x:v>
      </x:c>
      <x:c r="H11" s="27" t="str">
        <x:v>missing</x:v>
      </x:c>
      <x:c r="I11" s="27" t="str">
        <x:v>Mature production-software architect; verification and release engineer; deployment/SRE and incident-operations practitioner</x:v>
      </x:c>
      <x:c r="J11" s="27" t="str">
        <x:v>missing</x:v>
      </x:c>
      <x:c r="K11" s="27" t="str">
        <x:v>pending_named_specialist</x:v>
      </x:c>
      <x:c r="L11" s="27" t="str">
        <x:v>not_applicable</x:v>
      </x:c>
      <x:c r="M11" s="27" t="str">
        <x:v>not_applicable</x:v>
      </x:c>
      <x:c r="N11" s="27" t="str">
        <x:v>true</x:v>
      </x:c>
      <x:c r="O11" s="27" t="str">
        <x:v>false</x:v>
      </x:c>
      <x:c r="P11" s="27" t="str">
        <x:v>allowed for private use, staged WP2, and a public pilot only as EXPERT-CODED · DRAFT with range, confidence, gaps, and review status visible</x:v>
      </x:c>
      <x:c r="Q11" s="27" t="str">
        <x:v>before canonical approval; not before staged WP2 or labelled draft display</x:v>
      </x:c>
      <x:c r="R11" s="27" t="str">
        <x:v>New issue #41 package. It validates bounded S5 consequences and boundary independence; it does not expand the frozen software scope or search broadly for evidence.</x:v>
      </x:c>
    </x:row>
    <x:row r="12" ht="220" customHeight="1">
      <x:c r="A12" s="28" t="str">
        <x:v>EXP-MFG-01</x:v>
      </x:c>
      <x:c r="B12" s="28" t="str">
        <x:v>Discrete manufacturing</x:v>
      </x:c>
      <x:c r="C12" s="28" t="str">
        <x:v>Discrete-manufacturing NPI, tooling, process control, quality, and maintenance</x:v>
      </x:c>
      <x:c r="D12" s="28" t="str">
        <x:v>sp-0008;sp-0011;sp-0012;sp-0013</x:v>
      </x:c>
      <x:c r="E12" s="28" t="str">
        <x:v>sp-0008/S5;sp-0011/S5;sp-0012/S5;sp-0013/S5</x:v>
      </x:c>
      <x:c r="F12" s="28" t="str">
        <x:v>For tooling/supply, running-line control, production QA, and maintenance/restart in the frozen medium-to-high-volume NPI pathway, what is the next genuinely independent tryout, inspection, release, stop, or restart boundary; what detection and authority does it have; when does it act; and do the provisional 2 plus preserved 1-2 ranges correctly bound direct cost, equipment, worker, and defect-lot consequences?</x:v>
      </x:c>
      <x:c r="G12" s="28" t="str">
        <x:v>The four rows lack exact-stage canonical support, and shared sensors, self-certification, sampling plans, or same-team restart checks can make nominally separate controls correlated rather than independent.</x:v>
      </x:c>
      <x:c r="H12" s="28" t="str">
        <x:v>missing</x:v>
      </x:c>
      <x:c r="I12" s="28" t="str">
        <x:v>Discrete-manufacturing NPI/tooling and supplier-quality practitioner; process-control and production-quality engineer; industrial maintenance and restart-safety specialist</x:v>
      </x:c>
      <x:c r="J12" s="28" t="str">
        <x:v>missing</x:v>
      </x:c>
      <x:c r="K12" s="28" t="str">
        <x:v>pending_named_specialist</x:v>
      </x:c>
      <x:c r="L12" s="28" t="str">
        <x:v>not_applicable</x:v>
      </x:c>
      <x:c r="M12" s="28" t="str">
        <x:v>not_applicable</x:v>
      </x:c>
      <x:c r="N12" s="28" t="str">
        <x:v>true</x:v>
      </x:c>
      <x:c r="O12" s="28" t="str">
        <x:v>false</x:v>
      </x:c>
      <x:c r="P12" s="28" t="str">
        <x:v>allowed for private use, staged WP2, and a public pilot only as EXPERT-CODED · DRAFT with range, confidence, gaps, and review status visible</x:v>
      </x:c>
      <x:c r="Q12" s="28" t="str">
        <x:v>before canonical approval; not before staged WP2 or labelled draft display</x:v>
      </x:c>
      <x:c r="R12" s="28" t="str">
        <x:v>New issue #41 package. It validates bounded S5 consequences and boundary independence; it does not expand the frozen manufacturing scope or treat regulated products as the generic pathway.</x:v>
      </x:c>
    </x:row>
  </x:sheetData>
  <x:mergeCells>
    <x:mergeCell ref="A1:R1"/>
    <x:mergeCell ref="A2:R2"/>
  </x:mergeCells>
  <x:pageMargins left="0.7" right="0.7" top="0.75" bottom="0.75" header="0.3" footer="0.3"/>
  <x:tableParts count="1">
    <x:tablePart xmlns:r="http://schemas.openxmlformats.org/officeDocument/2006/relationships" r:id="Rede6f9a701b14382"/>
  </x:tableParts>
</x:worksheet>
</file>