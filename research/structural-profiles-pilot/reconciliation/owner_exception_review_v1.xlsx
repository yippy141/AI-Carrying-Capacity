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d461b2a8faf489b" /></Relationships>
</file>

<file path=xl/workbook.xml><?xml version="1.0" encoding="utf-8"?>
<x:workbook xmlns:x="http://schemas.openxmlformats.org/spreadsheetml/2006/main">
  <x:sheets>
    <x:sheet xmlns:r="http://schemas.openxmlformats.org/officeDocument/2006/relationships" name="OWNER_SUMMARY" sheetId="1" r:id="Rde028859470c4e59"/>
    <x:sheet xmlns:r="http://schemas.openxmlformats.org/officeDocument/2006/relationships" name="OWNER_EXCEPTIONS" sheetId="2" r:id="Re4b58cba53a749b0"/>
    <x:sheet xmlns:r="http://schemas.openxmlformats.org/officeDocument/2006/relationships" name="CROSS_CUTTING_S5" sheetId="3" r:id="Re402bf98e9554ce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8">
    <x:font>
      <x:sz val="11"/>
      <x:name val="Carlito"/>
    </x:font>
    <x:font>
      <x:b/>
      <x:sz val="16"/>
      <x:color rgb="FFFFFFFF"/>
      <x:name val="Aptos Display"/>
    </x:font>
    <x:font>
      <x:b/>
      <x:sz val="10"/>
      <x:color rgb="FFFFFFFF"/>
      <x:name val="Aptos"/>
    </x:font>
    <x:font>
      <x:sz val="10"/>
      <x:color rgb="FF24313D"/>
      <x:name val="Aptos"/>
    </x:font>
    <x:font>
      <x:b/>
      <x:sz val="10"/>
      <x:color rgb="FF24313D"/>
      <x:name val="Aptos"/>
    </x:font>
    <x:font>
      <x:i/>
      <x:sz val="10"/>
      <x:color rgb="FF24313D"/>
      <x:name val="Aptos"/>
    </x:font>
    <x:font>
      <x:b/>
      <x:sz val="11"/>
      <x:color rgb="FF24313D"/>
      <x:name val="Aptos"/>
    </x:font>
    <x:font>
      <x:b/>
      <x:sz val="11"/>
      <x:color rgb="FF24313D"/>
      <x:name val="Carlito"/>
    </x:font>
  </x:fonts>
  <x:fills count="7">
    <x:fill>
      <x:patternFill patternType="none"/>
    </x:fill>
    <x:fill>
      <x:patternFill patternType="gray125"/>
    </x:fill>
    <x:fill>
      <x:patternFill patternType="solid">
        <x:fgColor rgb="FF35495E"/>
      </x:patternFill>
    </x:fill>
    <x:fill>
      <x:patternFill patternType="solid">
        <x:fgColor rgb="FFFFFFFF"/>
      </x:patternFill>
    </x:fill>
    <x:fill>
      <x:patternFill patternType="solid">
        <x:fgColor rgb="FFDCEAF4"/>
      </x:patternFill>
    </x:fill>
    <x:fill>
      <x:patternFill patternType="solid">
        <x:fgColor rgb="FFFFF2CC"/>
      </x:patternFill>
    </x:fill>
    <x:fill>
      <x:patternFill patternType="solid">
        <x:fgColor rgb="FFE8ECEF"/>
      </x:patternFill>
    </x:fill>
  </x:fills>
  <x:borders count="5">
    <x:border/>
    <x:border>
      <x:left style="thin">
        <x:color rgb="FFCFD6DC"/>
      </x:left>
      <x:top style="thin">
        <x:color rgb="FFCFD6DC"/>
      </x:top>
      <x:bottom style="thin">
        <x:color rgb="FFCFD6DC"/>
      </x:bottom>
    </x:border>
    <x:border>
      <x:right style="thin">
        <x:color rgb="FFCFD6DC"/>
      </x:right>
      <x:top style="thin">
        <x:color rgb="FFCFD6DC"/>
      </x:top>
      <x:bottom style="thin">
        <x:color rgb="FFCFD6DC"/>
      </x:bottom>
    </x:border>
    <x:border>
      <x:bottom style="thin">
        <x:color rgb="FFCFD6DC"/>
      </x:bottom>
    </x:border>
    <x:border>
      <x:top style="thin">
        <x:color rgb="FFCFD6DC"/>
      </x:top>
      <x:bottom style="thin">
        <x:color rgb="FFCFD6DC"/>
      </x:bottom>
    </x:border>
  </x:borders>
  <x:cellStyleXfs count="1">
    <x:xf numFmtId="0" fontId="0" fillId="0" borderId="0"/>
  </x:cellStyleXfs>
  <x:cellXfs count="5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2" borderId="0" xfId="0" applyNumberFormat="1" applyFont="1" applyFill="1" applyBorder="1"/>
    <x:xf numFmtId="0" fontId="2" fillId="2" borderId="1" xfId="0" applyNumberFormat="1" applyFont="1" applyFill="1" applyBorder="1"/>
    <x:xf numFmtId="0" fontId="2" fillId="2" borderId="2" xfId="0" applyNumberFormat="1" applyFont="1" applyFill="1" applyBorder="1"/>
    <x:xf numFmtId="0" fontId="2" fillId="2" borderId="1" xfId="0" applyNumberFormat="1" applyFont="1" applyFill="1" applyBorder="1" applyAlignment="1">
      <x:alignment wrapText="1"/>
    </x:xf>
    <x:xf numFmtId="0" fontId="2" fillId="2" borderId="2" xfId="0" applyNumberFormat="1" applyFont="1" applyFill="1" applyBorder="1" applyAlignment="1">
      <x:alignment wrapText="1"/>
    </x:xf>
    <x:xf numFmtId="0" fontId="2" fillId="2" borderId="1" xfId="0" applyNumberFormat="1" applyFont="1" applyFill="1" applyBorder="1" applyAlignment="1">
      <x:alignment vertical="center" wrapText="1"/>
    </x:xf>
    <x:xf numFmtId="0" fontId="2" fillId="2" borderId="2" xfId="0" applyNumberFormat="1" applyFont="1" applyFill="1" applyBorder="1" applyAlignment="1">
      <x:alignment vertical="center" wrapText="1"/>
    </x:xf>
    <x:xf numFmtId="0" fontId="0" fillId="3" borderId="0" xfId="0" applyNumberFormat="1" applyFont="1" applyFill="1" applyBorder="1"/>
    <x:xf numFmtId="0" fontId="3" fillId="3" borderId="0" xfId="0" applyNumberFormat="1" applyFont="1" applyFill="1" applyBorder="1"/>
    <x:xf numFmtId="0" fontId="3" fillId="3" borderId="3" xfId="0" applyNumberFormat="1" applyFont="1" applyFill="1" applyBorder="1"/>
    <x:xf numFmtId="0" fontId="3" fillId="3" borderId="4" xfId="0" applyNumberFormat="1" applyFont="1" applyFill="1" applyBorder="1"/>
    <x:xf numFmtId="0" fontId="3" fillId="3" borderId="3" xfId="0" applyNumberFormat="1" applyFont="1" applyFill="1" applyBorder="1" applyAlignment="1">
      <x:alignment wrapText="1"/>
    </x:xf>
    <x:xf numFmtId="0" fontId="3" fillId="3" borderId="4" xfId="0" applyNumberFormat="1" applyFont="1" applyFill="1" applyBorder="1" applyAlignment="1">
      <x:alignment wrapText="1"/>
    </x:xf>
    <x:xf numFmtId="0" fontId="3" fillId="3" borderId="3" xfId="0" applyNumberFormat="1" applyFont="1" applyFill="1" applyBorder="1" applyAlignment="1">
      <x:alignment vertical="top" wrapText="1"/>
    </x:xf>
    <x:xf numFmtId="0" fontId="3" fillId="3" borderId="4" xfId="0" applyNumberFormat="1" applyFont="1" applyFill="1" applyBorder="1" applyAlignment="1">
      <x:alignment vertical="top" wrapText="1"/>
    </x:xf>
    <x:xf numFmtId="0" fontId="0" fillId="4" borderId="0" xfId="0" applyNumberFormat="1" applyFont="1" applyFill="1" applyBorder="1"/>
    <x:xf numFmtId="0" fontId="4" fillId="4" borderId="0" xfId="0" applyNumberFormat="1" applyFont="1" applyFill="1" applyBorder="1"/>
    <x:xf numFmtId="0" fontId="4" fillId="4" borderId="1" xfId="0" applyNumberFormat="1" applyFont="1" applyFill="1" applyBorder="1"/>
    <x:xf numFmtId="0" fontId="4" fillId="4" borderId="2"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5" fillId="3" borderId="0" xfId="0" applyNumberFormat="1" applyFont="1" applyFill="1" applyBorder="1"/>
    <x:xf numFmtId="0" fontId="5" fillId="3" borderId="0" xfId="0" applyNumberFormat="1" applyFont="1" applyFill="1" applyBorder="1" applyAlignment="1">
      <x:alignment wrapText="1"/>
    </x:xf>
    <x:xf numFmtId="0" fontId="5" fillId="3" borderId="0" xfId="0" applyNumberFormat="1" applyFont="1" applyFill="1" applyBorder="1" applyAlignment="1">
      <x:alignment vertical="center" wrapText="1"/>
    </x:xf>
    <x:xf numFmtId="0" fontId="2" fillId="2" borderId="4" xfId="0" applyNumberFormat="1" applyFont="1" applyFill="1" applyBorder="1"/>
    <x:xf numFmtId="0" fontId="2" fillId="2" borderId="4" xfId="0" applyNumberFormat="1" applyFont="1" applyFill="1" applyBorder="1" applyAlignment="1">
      <x:alignment wrapText="1"/>
    </x:xf>
    <x:xf numFmtId="0" fontId="2" fillId="2" borderId="4" xfId="0" applyNumberFormat="1" applyFont="1" applyFill="1" applyBorder="1" applyAlignment="1">
      <x:alignment vertical="center" wrapText="1"/>
    </x:xf>
    <x:xf numFmtId="0" fontId="0" fillId="6" borderId="0" xfId="0" applyNumberFormat="1" applyFont="1" applyFill="1" applyBorder="1"/>
    <x:xf numFmtId="0" fontId="3" fillId="6" borderId="0" xfId="0" applyNumberFormat="1" applyFont="1" applyFill="1" applyBorder="1"/>
    <x:xf numFmtId="0" fontId="3" fillId="6" borderId="3" xfId="0" applyNumberFormat="1" applyFont="1" applyFill="1" applyBorder="1"/>
    <x:xf numFmtId="0" fontId="3" fillId="6" borderId="4" xfId="0" applyNumberFormat="1" applyFont="1" applyFill="1" applyBorder="1"/>
    <x:xf numFmtId="0" fontId="3" fillId="6" borderId="3" xfId="0" applyNumberFormat="1" applyFont="1" applyFill="1" applyBorder="1" applyAlignment="1">
      <x:alignment wrapText="1"/>
    </x:xf>
    <x:xf numFmtId="0" fontId="3" fillId="6" borderId="4" xfId="0" applyNumberFormat="1" applyFont="1" applyFill="1" applyBorder="1" applyAlignment="1">
      <x:alignment wrapText="1"/>
    </x:xf>
    <x:xf numFmtId="0" fontId="3" fillId="6" borderId="3" xfId="0" applyNumberFormat="1" applyFont="1" applyFill="1" applyBorder="1" applyAlignment="1">
      <x:alignment vertical="top" wrapText="1"/>
    </x:xf>
    <x:xf numFmtId="0" fontId="3" fillId="6" borderId="4" xfId="0" applyNumberFormat="1" applyFont="1" applyFill="1" applyBorder="1" applyAlignment="1">
      <x:alignment vertical="top" wrapText="1"/>
    </x:xf>
    <x:xf numFmtId="0" fontId="3" fillId="5" borderId="0" xfId="0" applyNumberFormat="1" applyFont="1" applyFill="1" applyBorder="1"/>
    <x:xf numFmtId="0" fontId="3" fillId="5" borderId="3" xfId="0" applyNumberFormat="1" applyFont="1" applyFill="1" applyBorder="1"/>
    <x:xf numFmtId="0" fontId="3" fillId="5" borderId="4" xfId="0" applyNumberFormat="1" applyFont="1" applyFill="1" applyBorder="1"/>
    <x:xf numFmtId="0" fontId="3" fillId="5" borderId="3" xfId="0" applyNumberFormat="1" applyFont="1" applyFill="1" applyBorder="1" applyAlignment="1">
      <x:alignment wrapText="1"/>
    </x:xf>
    <x:xf numFmtId="0" fontId="3" fillId="5" borderId="4" xfId="0" applyNumberFormat="1" applyFont="1" applyFill="1" applyBorder="1" applyAlignment="1">
      <x:alignment wrapText="1"/>
    </x:xf>
    <x:xf numFmtId="0" fontId="3" fillId="5" borderId="3" xfId="0" applyNumberFormat="1" applyFont="1" applyFill="1" applyBorder="1" applyAlignment="1">
      <x:alignment vertical="top" wrapText="1"/>
    </x:xf>
    <x:xf numFmtId="0" fontId="3" fillId="5" borderId="4" xfId="0" applyNumberFormat="1" applyFont="1" applyFill="1" applyBorder="1" applyAlignment="1">
      <x:alignment vertical="top" wrapText="1"/>
    </x:xf>
    <x:xf numFmtId="200" fontId="3" fillId="6" borderId="3" xfId="0" applyNumberFormat="1" applyFont="1" applyFill="1" applyBorder="1" applyAlignment="1">
      <x:alignment vertical="top" wrapText="1"/>
    </x:xf>
    <x:xf numFmtId="200" fontId="3" fillId="6" borderId="4" xfId="0" applyNumberFormat="1" applyFont="1" applyFill="1" applyBorder="1" applyAlignment="1">
      <x:alignment vertical="top" wrapText="1"/>
    </x:xf>
    <x:xf numFmtId="0" fontId="6" fillId="4" borderId="0" xfId="0" applyNumberFormat="1" applyFont="1" applyFill="1" applyBorder="1"/>
    <x:xf numFmtId="0" fontId="6" fillId="4" borderId="0" xfId="0" applyNumberFormat="1" applyFont="1" applyFill="1" applyBorder="1" applyAlignment="1">
      <x:alignment wrapText="1"/>
    </x:xf>
    <x:xf numFmtId="0" fontId="6" fillId="4" borderId="0" xfId="0" applyNumberFormat="1" applyFont="1" applyFill="1" applyBorder="1" applyAlignment="1">
      <x:alignment vertical="center" wrapText="1"/>
    </x:xf>
    <x:xf numFmtId="0" fontId="7" fillId="4"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3f7721ccd68474f" /><Relationship Type="http://schemas.openxmlformats.org/officeDocument/2006/relationships/theme" Target="/xl/theme/theme1.xml" Id="Rc6fd992c32974c47" /><Relationship Type="http://schemas.openxmlformats.org/officeDocument/2006/relationships/sharedStrings" Target="/xl/sharedStrings.xml" Id="Rb81742bd74b34b42" /><Relationship Type="http://schemas.openxmlformats.org/officeDocument/2006/relationships/worksheet" Target="/xl/worksheets/sheet1.xml" Id="Rde028859470c4e59" /><Relationship Type="http://schemas.openxmlformats.org/officeDocument/2006/relationships/worksheet" Target="/xl/worksheets/sheet2.xml" Id="Re4b58cba53a749b0" /><Relationship Type="http://schemas.openxmlformats.org/officeDocument/2006/relationships/worksheet" Target="/xl/worksheets/sheet3.xml" Id="Re402bf98e9554cee" /></Relationships>
</file>

<file path=xl/tables/table1.xml><?xml version="1.0" encoding="utf-8"?>
<x:table xmlns:x="http://schemas.openxmlformats.org/spreadsheetml/2006/main" id="1" name="OwnerExceptionsTable" displayName="OwnerExceptionsTable" ref="A3:W26" headerRowCount="1" totalsRowCount="0" totalsRowShown="0">
  <x:autoFilter ref="A3:W26"/>
  <x:tableColumns count="23">
    <x:tableColumn id="1" name="exception_id"/>
    <x:tableColumn id="2" name="profile_id"/>
    <x:tableColumn id="3" name="stage / workflow"/>
    <x:tableColumn id="4" name="sector"/>
    <x:tableColumn id="5" name="pathway / lifecycle"/>
    <x:tableColumn id="6" name="application context"/>
    <x:tableColumn id="7" name="dimension / rubric"/>
    <x:tableColumn id="8" name="comparison status"/>
    <x:tableColumn id="9" name="difference"/>
    <x:tableColumn id="10" name="flags / routing reason"/>
    <x:tableColumn id="11" name="seed identity"/>
    <x:tableColumn id="12" name="seed value"/>
    <x:tableColumn id="13" name="seed confidence"/>
    <x:tableColumn id="14" name="seed sources"/>
    <x:tableColumn id="15" name="seed rationale"/>
    <x:tableColumn id="16" name="independent identity"/>
    <x:tableColumn id="17" name="independent value"/>
    <x:tableColumn id="18" name="independent confidence"/>
    <x:tableColumn id="19" name="independent sources"/>
    <x:tableColumn id="20" name="independent rationale"/>
    <x:tableColumn id="21" name="review route"/>
    <x:tableColumn id="22" name="owner disposition"/>
    <x:tableColumn id="23" name="owner rationale"/>
  </x:tableColumns>
  <x:tableStyleInfo name="TableStyleMedium2" showFirstColumn="0" showLastColumn="0" showRowStripes="1" showColumnStripes="0"/>
</x:table>
</file>

<file path=xl/tables/table2.xml><?xml version="1.0" encoding="utf-8"?>
<x:table xmlns:x="http://schemas.openxmlformats.org/spreadsheetml/2006/main" id="2" name="S5AffectedRowsTable" displayName="S5AffectedRowsTable" ref="A13:J32" headerRowCount="1" totalsRowCount="0" totalsRowShown="0">
  <x:autoFilter ref="A13:J32"/>
  <x:tableColumns count="10">
    <x:tableColumn id="1" name="profile_id"/>
    <x:tableColumn id="2" name="stage / workflow"/>
    <x:tableColumn id="3" name="sector"/>
    <x:tableColumn id="4" name="seed S5"/>
    <x:tableColumn id="5" name="independent S5"/>
    <x:tableColumn id="6" name="difference"/>
    <x:tableColumn id="7" name="seed rationale"/>
    <x:tableColumn id="8" name="independent rationale"/>
    <x:tableColumn id="9" name="owner exception?"/>
    <x:tableColumn id="10" name="exception i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8abb9dbf979409e" /></Relationships>
</file>

<file path=xl/worksheets/_rels/sheet3.xml.rels>&#65279;<?xml version="1.0" encoding="utf-8"?><Relationships xmlns="http://schemas.openxmlformats.org/package/2006/relationships"><Relationship Type="http://schemas.openxmlformats.org/officeDocument/2006/relationships/table" Target="/xl/tables/table2.xml" Id="R4a4101d4320f47b4" /></Relationships>
</file>

<file path=xl/worksheets/sheet1.xml><?xml version="1.0" encoding="utf-8"?>
<x:worksheet xmlns:x="http://schemas.openxmlformats.org/spreadsheetml/2006/main">
  <x:sheetViews>
    <x:sheetView showGridLines="0" workbookViewId="0"/>
  </x:sheetViews>
  <x:sheetFormatPr defaultRowHeight="15"/>
  <x:cols>
    <x:col min="1" max="1" width="27" hidden="0" customWidth="1"/>
    <x:col min="2" max="2" width="13" hidden="0" customWidth="1"/>
    <x:col min="3" max="3" width="3" hidden="0" customWidth="1"/>
    <x:col min="4" max="4" width="25" hidden="0" customWidth="1"/>
    <x:col min="5" max="5" width="52" hidden="0" customWidth="1"/>
    <x:col min="6" max="6" width="14" hidden="0" customWidth="1"/>
    <x:col min="7" max="7" width="14" hidden="0" customWidth="1"/>
    <x:col min="8" max="8" width="14" hidden="0" customWidth="1"/>
  </x:cols>
  <x:sheetData>
    <x:row r="1" ht="34" customHeight="1">
      <x:c r="A1" s="3" t="str">
        <x:v>Structural Profiles reconciliation — owner review</x:v>
      </x:c>
      <x:c r="B1" s="3" t="str">
        <x:v>Structural Profiles reconciliation — owner review</x:v>
      </x:c>
      <x:c r="C1" s="3" t="str">
        <x:v>Structural Profiles reconciliation — owner review</x:v>
      </x:c>
      <x:c r="D1" s="3" t="str">
        <x:v>Structural Profiles reconciliation — owner review</x:v>
      </x:c>
      <x:c r="E1" s="3" t="str">
        <x:v>Structural Profiles reconciliation — owner review</x:v>
      </x:c>
      <x:c r="F1" s="3" t="str">
        <x:v>Structural Profiles reconciliation — owner review</x:v>
      </x:c>
      <x:c r="G1" s="3" t="str">
        <x:v>Structural Profiles reconciliation — owner review</x:v>
      </x:c>
      <x:c r="H1" s="3" t="str">
        <x:v>Structural Profiles reconciliation — owner review</x:v>
      </x:c>
    </x:row>
    <x:row r="3" ht="34" customHeight="1">
      <x:c r="A3" s="9" t="str">
        <x:v>Comparison status</x:v>
      </x:c>
      <x:c r="B3" s="10" t="str">
        <x:v>Count</x:v>
      </x:c>
      <x:c r="D3" s="9" t="str">
        <x:v>Pinned provenance</x:v>
      </x:c>
      <x:c r="E3" s="10" t="str">
        <x:v>Recorded value</x:v>
      </x:c>
    </x:row>
    <x:row r="4">
      <x:c r="A4" s="17" t="str">
        <x:v>exact_agreement</x:v>
      </x:c>
      <x:c r="B4" s="17" t="n">
        <x:v>96</x:v>
      </x:c>
      <x:c r="D4" s="17" t="str">
        <x:v>Branch base</x:v>
      </x:c>
      <x:c r="E4" s="17" t="str">
        <x:v>c2a5c53d586cecad4d137d459b78d432b9104870</x:v>
      </x:c>
    </x:row>
    <x:row r="5">
      <x:c r="A5" s="18" t="str">
        <x:v>one_point_difference</x:v>
      </x:c>
      <x:c r="B5" s="18" t="n">
        <x:v>57</x:v>
      </x:c>
      <x:c r="D5" s="18" t="str">
        <x:v>Seed PR #33 head</x:v>
      </x:c>
      <x:c r="E5" s="18" t="str">
        <x:v>3bc7e1d3e16d507fe7374ae66a3af6eace519ca4</x:v>
      </x:c>
    </x:row>
    <x:row r="6">
      <x:c r="A6" s="18" t="str">
        <x:v>difference_ge_2</x:v>
      </x:c>
      <x:c r="B6" s="18" t="n">
        <x:v>2</x:v>
      </x:c>
      <x:c r="D6" s="18" t="str">
        <x:v>Seed coder</x:v>
      </x:c>
      <x:c r="E6" s="18" t="str">
        <x:v>Claude Code / Claude Opus 5</x:v>
      </x:c>
    </x:row>
    <x:row r="7">
      <x:c r="A7" s="18" t="str">
        <x:v>missing_seed</x:v>
      </x:c>
      <x:c r="B7" s="18" t="n">
        <x:v>0</x:v>
      </x:c>
      <x:c r="D7" s="18" t="str">
        <x:v>Independent PR #32 head</x:v>
      </x:c>
      <x:c r="E7" s="18" t="str">
        <x:v>86dbff4aab694d413a33d3c4a8b0d28047d73c2f</x:v>
      </x:c>
    </x:row>
    <x:row r="8">
      <x:c r="A8" s="18" t="str">
        <x:v>missing_independent</x:v>
      </x:c>
      <x:c r="B8" s="18" t="n">
        <x:v>0</x:v>
      </x:c>
      <x:c r="D8" s="18" t="str">
        <x:v>Independent coder</x:v>
      </x:c>
      <x:c r="E8" s="18" t="str">
        <x:v>Codex / GPT-5.6; reasoning_effort=extra_high</x:v>
      </x:c>
    </x:row>
    <x:row r="9">
      <x:c r="A9" s="18" t="str">
        <x:v>missing_both</x:v>
      </x:c>
      <x:c r="B9" s="18" t="n">
        <x:v>0</x:v>
      </x:c>
      <x:c r="D9" s="18" t="str">
        <x:v>Owner exceptions</x:v>
      </x:c>
      <x:c r="E9" s="18" t="n">
        <x:v>23</x:v>
      </x:c>
    </x:row>
    <x:row r="10">
      <x:c r="A10" s="21" t="str">
        <x:v>Total comparisons</x:v>
      </x:c>
      <x:c r="B10" s="22" t="n">
        <x:f>SUM(B4:B9)</x:f>
        <x:v>155</x:v>
      </x:c>
      <x:c r="D10" s="18" t="str">
        <x:v>Routine fusion reviews</x:v>
      </x:c>
      <x:c r="E10" s="18" t="n">
        <x:v>18</x:v>
      </x:c>
    </x:row>
    <x:row r="12">
      <x:c r="A12" s="25" t="str">
        <x:v>Systematic source gap: both submissions have blank canonical source_ids on 31 of 31 profiles. This is counted, not expanded into 155 owner exceptions. It routes only where the exception table records a material load-bearing, low-confidence, scope-sensitive, or disputed judgment.</x:v>
      </x:c>
      <x:c r="B12" s="25" t="str">
        <x:v>Systematic source gap: both submissions have blank canonical source_ids on 31 of 31 profiles. This is counted, not expanded into 155 owner exceptions. It routes only where the exception table records a material load-bearing, low-confidence, scope-sensitive, or disputed judgment.</x:v>
      </x:c>
      <x:c r="C12" s="25" t="str">
        <x:v>Systematic source gap: both submissions have blank canonical source_ids on 31 of 31 profiles. This is counted, not expanded into 155 owner exceptions. It routes only where the exception table records a material load-bearing, low-confidence, scope-sensitive, or disputed judgment.</x:v>
      </x:c>
      <x:c r="D12" s="25" t="str">
        <x:v>Systematic source gap: both submissions have blank canonical source_ids on 31 of 31 profiles. This is counted, not expanded into 155 owner exceptions. It routes only where the exception table records a material load-bearing, low-confidence, scope-sensitive, or disputed judgment.</x:v>
      </x:c>
      <x:c r="E12" s="25" t="str">
        <x:v>Systematic source gap: both submissions have blank canonical source_ids on 31 of 31 profiles. This is counted, not expanded into 155 owner exceptions. It routes only where the exception table records a material load-bearing, low-confidence, scope-sensitive, or disputed judgment.</x:v>
      </x:c>
      <x:c r="F12" s="25" t="str">
        <x:v>Systematic source gap: both submissions have blank canonical source_ids on 31 of 31 profiles. This is counted, not expanded into 155 owner exceptions. It routes only where the exception table records a material load-bearing, low-confidence, scope-sensitive, or disputed judgment.</x:v>
      </x:c>
      <x:c r="G12" s="25" t="str">
        <x:v>Systematic source gap: both submissions have blank canonical source_ids on 31 of 31 profiles. This is counted, not expanded into 155 owner exceptions. It routes only where the exception table records a material load-bearing, low-confidence, scope-sensitive, or disputed judgment.</x:v>
      </x:c>
      <x:c r="H12" s="25" t="str">
        <x:v>Systematic source gap: both submissions have blank canonical source_ids on 31 of 31 profiles. This is counted, not expanded into 155 owner exceptions. It routes only where the exception table records a material load-bearing, low-confidence, scope-sensitive, or disputed judgment.</x:v>
      </x:c>
    </x:row>
    <x:row r="13">
      <x:c r="A13" s="25" t="str">
        <x:v>Systematic source gap: both submissions have blank canonical source_ids on 31 of 31 profiles. This is counted, not expanded into 155 owner exceptions. It routes only where the exception table records a material load-bearing, low-confidence, scope-sensitive, or disputed judgment.</x:v>
      </x:c>
      <x:c r="B13" s="25" t="str">
        <x:v>Systematic source gap: both submissions have blank canonical source_ids on 31 of 31 profiles. This is counted, not expanded into 155 owner exceptions. It routes only where the exception table records a material load-bearing, low-confidence, scope-sensitive, or disputed judgment.</x:v>
      </x:c>
      <x:c r="C13" s="25" t="str">
        <x:v>Systematic source gap: both submissions have blank canonical source_ids on 31 of 31 profiles. This is counted, not expanded into 155 owner exceptions. It routes only where the exception table records a material load-bearing, low-confidence, scope-sensitive, or disputed judgment.</x:v>
      </x:c>
      <x:c r="D13" s="25" t="str">
        <x:v>Systematic source gap: both submissions have blank canonical source_ids on 31 of 31 profiles. This is counted, not expanded into 155 owner exceptions. It routes only where the exception table records a material load-bearing, low-confidence, scope-sensitive, or disputed judgment.</x:v>
      </x:c>
      <x:c r="E13" s="25" t="str">
        <x:v>Systematic source gap: both submissions have blank canonical source_ids on 31 of 31 profiles. This is counted, not expanded into 155 owner exceptions. It routes only where the exception table records a material load-bearing, low-confidence, scope-sensitive, or disputed judgment.</x:v>
      </x:c>
      <x:c r="F13" s="25" t="str">
        <x:v>Systematic source gap: both submissions have blank canonical source_ids on 31 of 31 profiles. This is counted, not expanded into 155 owner exceptions. It routes only where the exception table records a material load-bearing, low-confidence, scope-sensitive, or disputed judgment.</x:v>
      </x:c>
      <x:c r="G13" s="25" t="str">
        <x:v>Systematic source gap: both submissions have blank canonical source_ids on 31 of 31 profiles. This is counted, not expanded into 155 owner exceptions. It routes only where the exception table records a material load-bearing, low-confidence, scope-sensitive, or disputed judgment.</x:v>
      </x:c>
      <x:c r="H13" s="25" t="str">
        <x:v>Systematic source gap: both submissions have blank canonical source_ids on 31 of 31 profiles. This is counted, not expanded into 155 owner exceptions. It routes only where the exception table records a material load-bearing, low-confidence, scope-sensitive, or disputed judgment.</x:v>
      </x:c>
    </x:row>
    <x:row r="15">
      <x:c r="A15" s="29" t="str">
        <x:v>Owner action: review only the OWNER_EXCEPTIONS rows and the single cross-cutting S5 convention question. Allowed row dispositions are prefer_seed, prefer_independent, preserve_disagreement, needs_domain_review, and needs_better_evidence. No decision is prefilled, and no row is approved or canonicalized by this workbook.</x:v>
      </x:c>
      <x:c r="B15" s="29" t="str">
        <x:v>Owner action: review only the OWNER_EXCEPTIONS rows and the single cross-cutting S5 convention question. Allowed row dispositions are prefer_seed, prefer_independent, preserve_disagreement, needs_domain_review, and needs_better_evidence. No decision is prefilled, and no row is approved or canonicalized by this workbook.</x:v>
      </x:c>
      <x:c r="C15" s="29" t="str">
        <x:v>Owner action: review only the OWNER_EXCEPTIONS rows and the single cross-cutting S5 convention question. Allowed row dispositions are prefer_seed, prefer_independent, preserve_disagreement, needs_domain_review, and needs_better_evidence. No decision is prefilled, and no row is approved or canonicalized by this workbook.</x:v>
      </x:c>
      <x:c r="D15" s="29" t="str">
        <x:v>Owner action: review only the OWNER_EXCEPTIONS rows and the single cross-cutting S5 convention question. Allowed row dispositions are prefer_seed, prefer_independent, preserve_disagreement, needs_domain_review, and needs_better_evidence. No decision is prefilled, and no row is approved or canonicalized by this workbook.</x:v>
      </x:c>
      <x:c r="E15" s="29" t="str">
        <x:v>Owner action: review only the OWNER_EXCEPTIONS rows and the single cross-cutting S5 convention question. Allowed row dispositions are prefer_seed, prefer_independent, preserve_disagreement, needs_domain_review, and needs_better_evidence. No decision is prefilled, and no row is approved or canonicalized by this workbook.</x:v>
      </x:c>
      <x:c r="F15" s="29" t="str">
        <x:v>Owner action: review only the OWNER_EXCEPTIONS rows and the single cross-cutting S5 convention question. Allowed row dispositions are prefer_seed, prefer_independent, preserve_disagreement, needs_domain_review, and needs_better_evidence. No decision is prefilled, and no row is approved or canonicalized by this workbook.</x:v>
      </x:c>
      <x:c r="G15" s="29" t="str">
        <x:v>Owner action: review only the OWNER_EXCEPTIONS rows and the single cross-cutting S5 convention question. Allowed row dispositions are prefer_seed, prefer_independent, preserve_disagreement, needs_domain_review, and needs_better_evidence. No decision is prefilled, and no row is approved or canonicalized by this workbook.</x:v>
      </x:c>
      <x:c r="H15" s="29" t="str">
        <x:v>Owner action: review only the OWNER_EXCEPTIONS rows and the single cross-cutting S5 convention question. Allowed row dispositions are prefer_seed, prefer_independent, preserve_disagreement, needs_domain_review, and needs_better_evidence. No decision is prefilled, and no row is approved or canonicalized by this workbook.</x:v>
      </x:c>
    </x:row>
    <x:row r="16">
      <x:c r="A16" s="29" t="str">
        <x:v>Owner action: review only the OWNER_EXCEPTIONS rows and the single cross-cutting S5 convention question. Allowed row dispositions are prefer_seed, prefer_independent, preserve_disagreement, needs_domain_review, and needs_better_evidence. No decision is prefilled, and no row is approved or canonicalized by this workbook.</x:v>
      </x:c>
      <x:c r="B16" s="29" t="str">
        <x:v>Owner action: review only the OWNER_EXCEPTIONS rows and the single cross-cutting S5 convention question. Allowed row dispositions are prefer_seed, prefer_independent, preserve_disagreement, needs_domain_review, and needs_better_evidence. No decision is prefilled, and no row is approved or canonicalized by this workbook.</x:v>
      </x:c>
      <x:c r="C16" s="29" t="str">
        <x:v>Owner action: review only the OWNER_EXCEPTIONS rows and the single cross-cutting S5 convention question. Allowed row dispositions are prefer_seed, prefer_independent, preserve_disagreement, needs_domain_review, and needs_better_evidence. No decision is prefilled, and no row is approved or canonicalized by this workbook.</x:v>
      </x:c>
      <x:c r="D16" s="29" t="str">
        <x:v>Owner action: review only the OWNER_EXCEPTIONS rows and the single cross-cutting S5 convention question. Allowed row dispositions are prefer_seed, prefer_independent, preserve_disagreement, needs_domain_review, and needs_better_evidence. No decision is prefilled, and no row is approved or canonicalized by this workbook.</x:v>
      </x:c>
      <x:c r="E16" s="29" t="str">
        <x:v>Owner action: review only the OWNER_EXCEPTIONS rows and the single cross-cutting S5 convention question. Allowed row dispositions are prefer_seed, prefer_independent, preserve_disagreement, needs_domain_review, and needs_better_evidence. No decision is prefilled, and no row is approved or canonicalized by this workbook.</x:v>
      </x:c>
      <x:c r="F16" s="29" t="str">
        <x:v>Owner action: review only the OWNER_EXCEPTIONS rows and the single cross-cutting S5 convention question. Allowed row dispositions are prefer_seed, prefer_independent, preserve_disagreement, needs_domain_review, and needs_better_evidence. No decision is prefilled, and no row is approved or canonicalized by this workbook.</x:v>
      </x:c>
      <x:c r="G16" s="29" t="str">
        <x:v>Owner action: review only the OWNER_EXCEPTIONS rows and the single cross-cutting S5 convention question. Allowed row dispositions are prefer_seed, prefer_independent, preserve_disagreement, needs_domain_review, and needs_better_evidence. No decision is prefilled, and no row is approved or canonicalized by this workbook.</x:v>
      </x:c>
      <x:c r="H16" s="29" t="str">
        <x:v>Owner action: review only the OWNER_EXCEPTIONS rows and the single cross-cutting S5 convention question. Allowed row dispositions are prefer_seed, prefer_independent, preserve_disagreement, needs_domain_review, and needs_better_evidence. No decision is prefilled, and no row is approved or canonicalized by this workbook.</x:v>
      </x:c>
    </x:row>
    <x:row r="17">
      <x:c r="A17" s="29" t="str">
        <x:v>Owner action: review only the OWNER_EXCEPTIONS rows and the single cross-cutting S5 convention question. Allowed row dispositions are prefer_seed, prefer_independent, preserve_disagreement, needs_domain_review, and needs_better_evidence. No decision is prefilled, and no row is approved or canonicalized by this workbook.</x:v>
      </x:c>
      <x:c r="B17" s="29" t="str">
        <x:v>Owner action: review only the OWNER_EXCEPTIONS rows and the single cross-cutting S5 convention question. Allowed row dispositions are prefer_seed, prefer_independent, preserve_disagreement, needs_domain_review, and needs_better_evidence. No decision is prefilled, and no row is approved or canonicalized by this workbook.</x:v>
      </x:c>
      <x:c r="C17" s="29" t="str">
        <x:v>Owner action: review only the OWNER_EXCEPTIONS rows and the single cross-cutting S5 convention question. Allowed row dispositions are prefer_seed, prefer_independent, preserve_disagreement, needs_domain_review, and needs_better_evidence. No decision is prefilled, and no row is approved or canonicalized by this workbook.</x:v>
      </x:c>
      <x:c r="D17" s="29" t="str">
        <x:v>Owner action: review only the OWNER_EXCEPTIONS rows and the single cross-cutting S5 convention question. Allowed row dispositions are prefer_seed, prefer_independent, preserve_disagreement, needs_domain_review, and needs_better_evidence. No decision is prefilled, and no row is approved or canonicalized by this workbook.</x:v>
      </x:c>
      <x:c r="E17" s="29" t="str">
        <x:v>Owner action: review only the OWNER_EXCEPTIONS rows and the single cross-cutting S5 convention question. Allowed row dispositions are prefer_seed, prefer_independent, preserve_disagreement, needs_domain_review, and needs_better_evidence. No decision is prefilled, and no row is approved or canonicalized by this workbook.</x:v>
      </x:c>
      <x:c r="F17" s="29" t="str">
        <x:v>Owner action: review only the OWNER_EXCEPTIONS rows and the single cross-cutting S5 convention question. Allowed row dispositions are prefer_seed, prefer_independent, preserve_disagreement, needs_domain_review, and needs_better_evidence. No decision is prefilled, and no row is approved or canonicalized by this workbook.</x:v>
      </x:c>
      <x:c r="G17" s="29" t="str">
        <x:v>Owner action: review only the OWNER_EXCEPTIONS rows and the single cross-cutting S5 convention question. Allowed row dispositions are prefer_seed, prefer_independent, preserve_disagreement, needs_domain_review, and needs_better_evidence. No decision is prefilled, and no row is approved or canonicalized by this workbook.</x:v>
      </x:c>
      <x:c r="H17" s="29" t="str">
        <x:v>Owner action: review only the OWNER_EXCEPTIONS rows and the single cross-cutting S5 convention question. Allowed row dispositions are prefer_seed, prefer_independent, preserve_disagreement, needs_domain_review, and needs_better_evidence. No decision is prefilled, and no row is approved or canonicalized by this workbook.</x:v>
      </x:c>
    </x:row>
    <x:row r="19">
      <x:c r="A19" s="32" t="str">
        <x:v>Fable is credited as framework architect, not as the row-level coder. Both provenance correction commits were verified metadata-only: no original S-value or rationale changed.</x:v>
      </x:c>
      <x:c r="B19" s="32" t="str">
        <x:v>Fable is credited as framework architect, not as the row-level coder. Both provenance correction commits were verified metadata-only: no original S-value or rationale changed.</x:v>
      </x:c>
      <x:c r="C19" s="32" t="str">
        <x:v>Fable is credited as framework architect, not as the row-level coder. Both provenance correction commits were verified metadata-only: no original S-value or rationale changed.</x:v>
      </x:c>
      <x:c r="D19" s="32" t="str">
        <x:v>Fable is credited as framework architect, not as the row-level coder. Both provenance correction commits were verified metadata-only: no original S-value or rationale changed.</x:v>
      </x:c>
      <x:c r="E19" s="32" t="str">
        <x:v>Fable is credited as framework architect, not as the row-level coder. Both provenance correction commits were verified metadata-only: no original S-value or rationale changed.</x:v>
      </x:c>
      <x:c r="F19" s="32" t="str">
        <x:v>Fable is credited as framework architect, not as the row-level coder. Both provenance correction commits were verified metadata-only: no original S-value or rationale changed.</x:v>
      </x:c>
      <x:c r="G19" s="32" t="str">
        <x:v>Fable is credited as framework architect, not as the row-level coder. Both provenance correction commits were verified metadata-only: no original S-value or rationale changed.</x:v>
      </x:c>
      <x:c r="H19" s="32" t="str">
        <x:v>Fable is credited as framework architect, not as the row-level coder. Both provenance correction commits were verified metadata-only: no original S-value or rationale changed.</x:v>
      </x:c>
    </x:row>
    <x:row r="20">
      <x:c r="A20" s="32" t="str">
        <x:v>Fable is credited as framework architect, not as the row-level coder. Both provenance correction commits were verified metadata-only: no original S-value or rationale changed.</x:v>
      </x:c>
      <x:c r="B20" s="32" t="str">
        <x:v>Fable is credited as framework architect, not as the row-level coder. Both provenance correction commits were verified metadata-only: no original S-value or rationale changed.</x:v>
      </x:c>
      <x:c r="C20" s="32" t="str">
        <x:v>Fable is credited as framework architect, not as the row-level coder. Both provenance correction commits were verified metadata-only: no original S-value or rationale changed.</x:v>
      </x:c>
      <x:c r="D20" s="32" t="str">
        <x:v>Fable is credited as framework architect, not as the row-level coder. Both provenance correction commits were verified metadata-only: no original S-value or rationale changed.</x:v>
      </x:c>
      <x:c r="E20" s="32" t="str">
        <x:v>Fable is credited as framework architect, not as the row-level coder. Both provenance correction commits were verified metadata-only: no original S-value or rationale changed.</x:v>
      </x:c>
      <x:c r="F20" s="32" t="str">
        <x:v>Fable is credited as framework architect, not as the row-level coder. Both provenance correction commits were verified metadata-only: no original S-value or rationale changed.</x:v>
      </x:c>
      <x:c r="G20" s="32" t="str">
        <x:v>Fable is credited as framework architect, not as the row-level coder. Both provenance correction commits were verified metadata-only: no original S-value or rationale changed.</x:v>
      </x:c>
      <x:c r="H20" s="32" t="str">
        <x:v>Fable is credited as framework architect, not as the row-level coder. Both provenance correction commits were verified metadata-only: no original S-value or rationale changed.</x:v>
      </x:c>
    </x:row>
  </x:sheetData>
  <x:mergeCells>
    <x:mergeCell ref="A1:H1"/>
    <x:mergeCell ref="A12:H13"/>
    <x:mergeCell ref="A15:H17"/>
    <x:mergeCell ref="A19:H20"/>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12" hidden="0" customWidth="1"/>
    <x:col min="3" max="3" width="30" hidden="0" customWidth="1"/>
    <x:col min="4" max="4" width="25" hidden="0" customWidth="1"/>
    <x:col min="5" max="5" width="38" hidden="0" customWidth="1"/>
    <x:col min="6" max="6" width="52" hidden="0" customWidth="1"/>
    <x:col min="7" max="7" width="68" hidden="0" customWidth="1"/>
    <x:col min="8" max="8" width="23" hidden="0" customWidth="1"/>
    <x:col min="9" max="9" width="11" hidden="0" customWidth="1"/>
    <x:col min="10" max="10" width="54" hidden="0" customWidth="1"/>
    <x:col min="11" max="11" width="34" hidden="0" customWidth="1"/>
    <x:col min="12" max="12" width="11" hidden="0" customWidth="1"/>
    <x:col min="13" max="13" width="15" hidden="0" customWidth="1"/>
    <x:col min="14" max="14" width="18" hidden="0" customWidth="1"/>
    <x:col min="15" max="15" width="82" hidden="0" customWidth="1"/>
    <x:col min="16" max="16" width="38" hidden="0" customWidth="1"/>
    <x:col min="17" max="17" width="14" hidden="0" customWidth="1"/>
    <x:col min="18" max="18" width="18" hidden="0" customWidth="1"/>
    <x:col min="19" max="19" width="18" hidden="0" customWidth="1"/>
    <x:col min="20" max="20" width="82" hidden="0" customWidth="1"/>
    <x:col min="21" max="21" width="26" hidden="0" customWidth="1"/>
    <x:col min="22" max="22" width="24" hidden="0" customWidth="1"/>
    <x:col min="23" max="23" width="42" hidden="0" customWidth="1"/>
  </x:cols>
  <x:sheetData>
    <x:row r="1" ht="34" customHeight="1">
      <x:c r="A1" s="3" t="str">
        <x:v>Owner-routed exceptions only — 23 dimension comparisons</x:v>
      </x:c>
      <x:c r="B1" s="3" t="str">
        <x:v>Owner-routed exceptions only — 23 dimension comparisons</x:v>
      </x:c>
      <x:c r="C1" s="3" t="str">
        <x:v>Owner-routed exceptions only — 23 dimension comparisons</x:v>
      </x:c>
      <x:c r="D1" s="3" t="str">
        <x:v>Owner-routed exceptions only — 23 dimension comparisons</x:v>
      </x:c>
      <x:c r="E1" s="3" t="str">
        <x:v>Owner-routed exceptions only — 23 dimension comparisons</x:v>
      </x:c>
      <x:c r="F1" s="3" t="str">
        <x:v>Owner-routed exceptions only — 23 dimension comparisons</x:v>
      </x:c>
      <x:c r="G1" s="3" t="str">
        <x:v>Owner-routed exceptions only — 23 dimension comparisons</x:v>
      </x:c>
      <x:c r="H1" s="3" t="str">
        <x:v>Owner-routed exceptions only — 23 dimension comparisons</x:v>
      </x:c>
      <x:c r="I1" s="3" t="str">
        <x:v>Owner-routed exceptions only — 23 dimension comparisons</x:v>
      </x:c>
      <x:c r="J1" s="3" t="str">
        <x:v>Owner-routed exceptions only — 23 dimension comparisons</x:v>
      </x:c>
      <x:c r="K1" s="3" t="str">
        <x:v>Owner-routed exceptions only — 23 dimension comparisons</x:v>
      </x:c>
      <x:c r="L1" s="3" t="str">
        <x:v>Owner-routed exceptions only — 23 dimension comparisons</x:v>
      </x:c>
      <x:c r="M1" s="3" t="str">
        <x:v>Owner-routed exceptions only — 23 dimension comparisons</x:v>
      </x:c>
      <x:c r="N1" s="3" t="str">
        <x:v>Owner-routed exceptions only — 23 dimension comparisons</x:v>
      </x:c>
      <x:c r="O1" s="3" t="str">
        <x:v>Owner-routed exceptions only — 23 dimension comparisons</x:v>
      </x:c>
      <x:c r="P1" s="3" t="str">
        <x:v>Owner-routed exceptions only — 23 dimension comparisons</x:v>
      </x:c>
      <x:c r="Q1" s="3" t="str">
        <x:v>Owner-routed exceptions only — 23 dimension comparisons</x:v>
      </x:c>
      <x:c r="R1" s="3" t="str">
        <x:v>Owner-routed exceptions only — 23 dimension comparisons</x:v>
      </x:c>
      <x:c r="S1" s="3" t="str">
        <x:v>Owner-routed exceptions only — 23 dimension comparisons</x:v>
      </x:c>
      <x:c r="T1" s="3" t="str">
        <x:v>Owner-routed exceptions only — 23 dimension comparisons</x:v>
      </x:c>
      <x:c r="U1" s="3" t="str">
        <x:v>Owner-routed exceptions only — 23 dimension comparisons</x:v>
      </x:c>
      <x:c r="V1" s="3" t="str">
        <x:v>Owner-routed exceptions only — 23 dimension comparisons</x:v>
      </x:c>
      <x:c r="W1" s="3" t="str">
        <x:v>Owner-routed exceptions only — 23 dimension comparisons</x:v>
      </x:c>
    </x:row>
    <x:row r="2">
      <x:c r="A2" s="24" t="str">
        <x:v>Gray cells preserve generated context and both original submissions. Yellow cells are the only owner-editable fields. Blank source cells are missing, not zero or agreement.</x:v>
      </x:c>
      <x:c r="B2" s="24" t="str">
        <x:v>Gray cells preserve generated context and both original submissions. Yellow cells are the only owner-editable fields. Blank source cells are missing, not zero or agreement.</x:v>
      </x:c>
      <x:c r="C2" s="24" t="str">
        <x:v>Gray cells preserve generated context and both original submissions. Yellow cells are the only owner-editable fields. Blank source cells are missing, not zero or agreement.</x:v>
      </x:c>
      <x:c r="D2" s="24" t="str">
        <x:v>Gray cells preserve generated context and both original submissions. Yellow cells are the only owner-editable fields. Blank source cells are missing, not zero or agreement.</x:v>
      </x:c>
      <x:c r="E2" s="24" t="str">
        <x:v>Gray cells preserve generated context and both original submissions. Yellow cells are the only owner-editable fields. Blank source cells are missing, not zero or agreement.</x:v>
      </x:c>
      <x:c r="F2" s="24" t="str">
        <x:v>Gray cells preserve generated context and both original submissions. Yellow cells are the only owner-editable fields. Blank source cells are missing, not zero or agreement.</x:v>
      </x:c>
      <x:c r="G2" s="24" t="str">
        <x:v>Gray cells preserve generated context and both original submissions. Yellow cells are the only owner-editable fields. Blank source cells are missing, not zero or agreement.</x:v>
      </x:c>
      <x:c r="H2" s="24" t="str">
        <x:v>Gray cells preserve generated context and both original submissions. Yellow cells are the only owner-editable fields. Blank source cells are missing, not zero or agreement.</x:v>
      </x:c>
      <x:c r="I2" s="24" t="str">
        <x:v>Gray cells preserve generated context and both original submissions. Yellow cells are the only owner-editable fields. Blank source cells are missing, not zero or agreement.</x:v>
      </x:c>
      <x:c r="J2" s="24" t="str">
        <x:v>Gray cells preserve generated context and both original submissions. Yellow cells are the only owner-editable fields. Blank source cells are missing, not zero or agreement.</x:v>
      </x:c>
      <x:c r="K2" s="24" t="str">
        <x:v>Gray cells preserve generated context and both original submissions. Yellow cells are the only owner-editable fields. Blank source cells are missing, not zero or agreement.</x:v>
      </x:c>
      <x:c r="L2" s="24" t="str">
        <x:v>Gray cells preserve generated context and both original submissions. Yellow cells are the only owner-editable fields. Blank source cells are missing, not zero or agreement.</x:v>
      </x:c>
      <x:c r="M2" s="24" t="str">
        <x:v>Gray cells preserve generated context and both original submissions. Yellow cells are the only owner-editable fields. Blank source cells are missing, not zero or agreement.</x:v>
      </x:c>
      <x:c r="N2" s="24" t="str">
        <x:v>Gray cells preserve generated context and both original submissions. Yellow cells are the only owner-editable fields. Blank source cells are missing, not zero or agreement.</x:v>
      </x:c>
      <x:c r="O2" s="24" t="str">
        <x:v>Gray cells preserve generated context and both original submissions. Yellow cells are the only owner-editable fields. Blank source cells are missing, not zero or agreement.</x:v>
      </x:c>
      <x:c r="P2" s="24" t="str">
        <x:v>Gray cells preserve generated context and both original submissions. Yellow cells are the only owner-editable fields. Blank source cells are missing, not zero or agreement.</x:v>
      </x:c>
      <x:c r="Q2" s="24" t="str">
        <x:v>Gray cells preserve generated context and both original submissions. Yellow cells are the only owner-editable fields. Blank source cells are missing, not zero or agreement.</x:v>
      </x:c>
      <x:c r="R2" s="24" t="str">
        <x:v>Gray cells preserve generated context and both original submissions. Yellow cells are the only owner-editable fields. Blank source cells are missing, not zero or agreement.</x:v>
      </x:c>
      <x:c r="S2" s="24" t="str">
        <x:v>Gray cells preserve generated context and both original submissions. Yellow cells are the only owner-editable fields. Blank source cells are missing, not zero or agreement.</x:v>
      </x:c>
      <x:c r="T2" s="24" t="str">
        <x:v>Gray cells preserve generated context and both original submissions. Yellow cells are the only owner-editable fields. Blank source cells are missing, not zero or agreement.</x:v>
      </x:c>
      <x:c r="U2" s="24" t="str">
        <x:v>Gray cells preserve generated context and both original submissions. Yellow cells are the only owner-editable fields. Blank source cells are missing, not zero or agreement.</x:v>
      </x:c>
      <x:c r="V2" s="24" t="str">
        <x:v>Gray cells preserve generated context and both original submissions. Yellow cells are the only owner-editable fields. Blank source cells are missing, not zero or agreement.</x:v>
      </x:c>
      <x:c r="W2" s="24" t="str">
        <x:v>Gray cells preserve generated context and both original submissions. Yellow cells are the only owner-editable fields. Blank source cells are missing, not zero or agreement.</x:v>
      </x:c>
    </x:row>
    <x:row r="3" ht="34" customHeight="1">
      <x:c r="A3" s="9" t="str">
        <x:v>exception_id</x:v>
      </x:c>
      <x:c r="B3" s="35" t="str">
        <x:v>profile_id</x:v>
      </x:c>
      <x:c r="C3" s="35" t="str">
        <x:v>stage / workflow</x:v>
      </x:c>
      <x:c r="D3" s="35" t="str">
        <x:v>sector</x:v>
      </x:c>
      <x:c r="E3" s="35" t="str">
        <x:v>pathway / lifecycle</x:v>
      </x:c>
      <x:c r="F3" s="35" t="str">
        <x:v>application context</x:v>
      </x:c>
      <x:c r="G3" s="35" t="str">
        <x:v>dimension / rubric</x:v>
      </x:c>
      <x:c r="H3" s="35" t="str">
        <x:v>comparison status</x:v>
      </x:c>
      <x:c r="I3" s="35" t="str">
        <x:v>difference</x:v>
      </x:c>
      <x:c r="J3" s="35" t="str">
        <x:v>flags / routing reason</x:v>
      </x:c>
      <x:c r="K3" s="35" t="str">
        <x:v>seed identity</x:v>
      </x:c>
      <x:c r="L3" s="35" t="str">
        <x:v>seed value</x:v>
      </x:c>
      <x:c r="M3" s="35" t="str">
        <x:v>seed confidence</x:v>
      </x:c>
      <x:c r="N3" s="35" t="str">
        <x:v>seed sources</x:v>
      </x:c>
      <x:c r="O3" s="35" t="str">
        <x:v>seed rationale</x:v>
      </x:c>
      <x:c r="P3" s="35" t="str">
        <x:v>independent identity</x:v>
      </x:c>
      <x:c r="Q3" s="35" t="str">
        <x:v>independent value</x:v>
      </x:c>
      <x:c r="R3" s="35" t="str">
        <x:v>independent confidence</x:v>
      </x:c>
      <x:c r="S3" s="35" t="str">
        <x:v>independent sources</x:v>
      </x:c>
      <x:c r="T3" s="35" t="str">
        <x:v>independent rationale</x:v>
      </x:c>
      <x:c r="U3" s="35" t="str">
        <x:v>review route</x:v>
      </x:c>
      <x:c r="V3" s="35" t="str">
        <x:v>owner disposition</x:v>
      </x:c>
      <x:c r="W3" s="10" t="str">
        <x:v>owner rationale</x:v>
      </x:c>
    </x:row>
    <x:row r="4" ht="330" customHeight="1">
      <x:c r="A4" s="42" t="str">
        <x:v>exc-sp-0003-s5</x:v>
      </x:c>
      <x:c r="B4" s="42" t="str">
        <x:v>sp-0003</x:v>
      </x:c>
      <x:c r="C4" s="42" t="str">
        <x:v>verification_and_validation — Verification and validation</x:v>
      </x:c>
      <x:c r="D4" s="42" t="str">
        <x:v>Software engineering</x:v>
      </x:c>
      <x:c r="E4" s="42" t="str">
        <x:v>mature_software_delivery_and_maintenance / development</x:v>
      </x:c>
      <x:c r="F4" s="42" t="str">
        <x:v>Mature production-software feature development, debugging, testing, integration, deployment, operations, and maintenance in an established codebase</x:v>
      </x:c>
      <x:c r="G4" s="42" t="str">
        <x:v>S5: Intrinsic error tolerance
0: Errors are catastrophic or irreversible.
2: Errors create material cost, delay, or review burdens, but are usually containable and reversible within the stated scope.
4: Errors are cheap, reversible, and low-externality.</x:v>
      </x:c>
      <x:c r="H4" s="42" t="str">
        <x:v>difference_ge_2</x:v>
      </x:c>
      <x:c r="I4" s="51" t="n">
        <x:v>2</x:v>
      </x:c>
      <x:c r="J4" s="42" t="str">
        <x:v>absolute_difference_ge_2|contradictory_rationales|missing_or_incompatible_source_support
Two-point S5 dispute turns on whether escaped verification errors belong to this stage; the blank source base cannot resolve the convention.</x:v>
      </x:c>
      <x:c r="K4" s="42" t="str">
        <x:v>Claude Code / claude-opus-5
seed-sp-0003-v1</x:v>
      </x:c>
      <x:c r="L4" s="51" t="n">
        <x:v>4</x:v>
      </x:c>
      <x:c r="M4" s="42" t="str">
        <x:v>high</x:v>
      </x:c>
      <x:c r="N4" s="42" t="str"/>
      <x:c r="O4" s="42" t="str">
        <x:v>S1: reviews, testing, defect reproduction and validation of a change are executed as information work and as software running against software; no physical transformation occurs in the scoped stage; S2: automated suites return in minutes to hours and defect reproduction usually closes within a day, placing the ordinary loop firmly in the minutes-to-days band; S3 cost: an additional test execution or reproduction attempt costs compute time and is near-free at the margin; S3 throughput: intermediate judgment recorded because cost and throughput diverge - automated attempts shard and parallelise almost without limit, but the scoped stage also contains human code review and shared staging or full-system environments, which are scarce serial resources, so attainable throughput is materially below the near-free-and-parallel anchor even though marginal cost is not; S4: no construction, growth, curing, healing or qualification floor governs elapsed time; S5: errors made inside this stage, such as a wrong assertion or a misdiagnosed reproduction, are corrected cheaply and reversibly with no external consequence; escaped-defect consequences belong to the deployment and operations stages and are coded there; scope caveat: frozen V1 scope excludes safety-critical software, where verification would not be low-consequence; critical_path_role remains not_assessed.</x:v>
      </x:c>
      <x:c r="P4" s="42" t="str">
        <x:v>Codex / gpt-5.6
reasoning_effort=extra_high
independent-sp-0003-v1</x:v>
      </x:c>
      <x:c r="Q4" s="51" t="n">
        <x:v>2</x:v>
      </x:c>
      <x:c r="R4" s="42" t="str">
        <x:v>high</x:v>
      </x:c>
      <x:c r="S4" s="42" t="str"/>
      <x:c r="T4" s="42" t="str">
        <x:v>S1: 4 — reviews, testing, defect reproduction, and validation are predominantly digital information work; S2: 4 — ordinary test-revise cycles run in minutes to days; S3 cost: 4 — most software test executions have low marginal cost; S3 throughput: test suites and defect reproductions can be highly parallelized, despite some shared-environment constraints; S4: 4 — no intrinsic physical time floor dominates pre-release verification; S5: 2 — test mistakes or false negatives can permit defects and cause material review burdens, but reruns and corrections are normally possible; scope caveat: excludes safety-critical assurance and post-release operations.</x:v>
      </x:c>
      <x:c r="U4" s="42" t="str">
        <x:v>owner_review</x:v>
      </x:c>
      <x:c r="V4" s="49"/>
      <x:c r="W4" s="49"/>
    </x:row>
    <x:row r="5" ht="330" customHeight="1">
      <x:c r="A5" s="43" t="str">
        <x:v>exc-sp-0016-s2</x:v>
      </x:c>
      <x:c r="B5" s="43" t="str">
        <x:v>sp-0016</x:v>
      </x:c>
      <x:c r="C5" s="43" t="str">
        <x:v>experiment_selection — Experiment selection</x:v>
      </x:c>
      <x:c r="D5" s="43" t="str">
        <x:v>Fusion, magnetic confinement</x:v>
      </x:c>
      <x:c r="E5" s="43" t="str">
        <x:v>tokamak_research_to_pilot_plant_demonstration / research</x:v>
      </x:c>
      <x:c r="F5" s="43" t="str">
        <x:v>Tokamak research through component and subsystem development, materials qualification, facility build, commissioning, integrated demonstration, and pilot-plant readiness</x:v>
      </x:c>
      <x:c r="G5" s="43" t="str">
        <x:v>S2: Feedback speed
0: Cycles take years to decades.
2: The ordinary learn-test-revise cycle is generally measured in weeks to months, rather than minutes/days or years/decades.
4: Learn-test-revise cycles occur in minutes to days.</x:v>
      </x:c>
      <x:c r="H5" s="43" t="str">
        <x:v>one_point_difference</x:v>
      </x:c>
      <x:c r="I5" s="52" t="n">
        <x:v>1</x:v>
      </x:c>
      <x:c r="J5" s="43" t="str">
        <x:v>low_confidence_load_bearing_stage|missing_or_incompatible_source_support|scope_pathway_application_or_lifecycle_ambiguity
Experiment selection excludes physical execution but depends on scarce shots for feedback; one low-confidence coding makes this stage-boundary choice material.</x:v>
      </x:c>
      <x:c r="K5" s="43" t="str">
        <x:v>Claude Code / claude-opus-5
seed-sp-0016-v1</x:v>
      </x:c>
      <x:c r="L5" s="52" t="n">
        <x:v>1</x:v>
      </x:c>
      <x:c r="M5" s="43" t="str">
        <x:v>medium</x:v>
      </x:c>
      <x:c r="N5" s="43" t="str"/>
      <x:c r="O5" s="43" t="str">
        <x:v>S1: selecting, prioritising and sequencing experiments against stated objectives is decision and analysis work; the frozen scope excludes executing experiments, collecting diagnostics and operating plasma controls; S2: intermediate judgment - a proposal or priority list can be revised within days, but the loop that reveals whether a selection was right is a tokamak experimental campaign, and on the small number of pilot-relevant devices the relevant campaigns are separated by many months and sometimes years, which is slower than the weeks-to-months anchor without being decade-scale; S3 cost: cost and throughput diverge sharply - generating and ranking candidate experiment plans is near-free at the margin; S3 throughput: the attempt that actually tests a selection consumes scarce, serially allocated shot time or run days on one of very few devices, so realised throughput is a small number of decision-relevant attempts per year and this is what holds the coding low; S4: intermediate judgment - the selection work carries no construction, growth, curing or qualification floor of its own, but it cannot be realised outside device availability windows set by campaign and shutdown schedules, so it falls short of full physical flexibility; S5: a mis-prioritised campaign consumes scarce device time that cannot be recovered and delays the research programme, which is material and largely unrecoverable cost, but it damages no hardware or people and the plan can be revised for the next campaign; scope caveat: frozen V1 pathway is tokamak research to pilot-plant demonstration; device access assumptions would differ materially for a private single-purpose device versus a shared national facility, which is a country and actor condition and not an intrinsic S judgment; this row is routed to fusion domain review; critical_path_role remains not_assessed.</x:v>
      </x:c>
      <x:c r="P5" s="43" t="str">
        <x:v>Codex / gpt-5.6
reasoning_effort=extra_high
independent-sp-0016-v1</x:v>
      </x:c>
      <x:c r="Q5" s="52" t="n">
        <x:v>2</x:v>
      </x:c>
      <x:c r="R5" s="43" t="str">
        <x:v>low</x:v>
      </x:c>
      <x:c r="S5" s="43" t="str"/>
      <x:c r="T5" s="43" t="str">
        <x:v>S1: 4 — selecting, prioritizing, and sequencing experiments is primarily inference and decision work; S2: 2 — useful selection feedback commonly waits weeks to months for scheduled experiments and analysis; S3 cost: 2 — proposing alternatives is cheap, but validating a selection consumes scarce facility shots; S3 throughput: selection analysis can be parallel, while the attainable validated throughput is serially gated by experiment schedules, creating a cost-throughput divergence; S4: 4 — experiment execution is excluded, so no physical process is intrinsic to the selection task itself; S5: 2 — poor selection wastes scarce shots and delays learning but is normally reversible in later scheduling; scope caveat: the score depends on treating physical execution as excluded while feedback still comes from the tokamak campaign.</x:v>
      </x:c>
      <x:c r="U5" s="43" t="str">
        <x:v>owner_and_domain_review</x:v>
      </x:c>
      <x:c r="V5" s="50"/>
      <x:c r="W5" s="50"/>
    </x:row>
    <x:row r="6" ht="330" customHeight="1">
      <x:c r="A6" s="43" t="str">
        <x:v>exc-sp-0016-s3</x:v>
      </x:c>
      <x:c r="B6" s="43" t="str">
        <x:v>sp-0016</x:v>
      </x:c>
      <x:c r="C6" s="43" t="str">
        <x:v>experiment_selection — Experiment selection</x:v>
      </x:c>
      <x:c r="D6" s="43" t="str">
        <x:v>Fusion, magnetic confinement</x:v>
      </x:c>
      <x:c r="E6" s="43" t="str">
        <x:v>tokamak_research_to_pilot_plant_demonstration / research</x:v>
      </x:c>
      <x:c r="F6" s="43" t="str">
        <x:v>Tokamak research through component and subsystem development, materials qualification, facility build, commissioning, integrated demonstration, and pilot-plant readiness</x:v>
      </x:c>
      <x:c r="G6" s="43" t="str">
        <x:v>S3: Experiment affordability and throughput
0: Attempts are scarce and expensive.
2: Attempts require meaningful resources or scarce systems but remain repeatable; throughput or parallelism is material but constrained.
4: Attempts are near-free and parallel.</x:v>
      </x:c>
      <x:c r="H6" s="43" t="str">
        <x:v>one_point_difference</x:v>
      </x:c>
      <x:c r="I6" s="52" t="n">
        <x:v>1</x:v>
      </x:c>
      <x:c r="J6" s="43" t="str">
        <x:v>low_confidence_load_bearing_stage|missing_or_incompatible_source_support|scope_pathway_application_or_lifecycle_ambiguity
Experiment selection excludes physical execution but depends on scarce shots for feedback; one low-confidence coding makes this stage-boundary choice material.</x:v>
      </x:c>
      <x:c r="K6" s="43" t="str">
        <x:v>Claude Code / claude-opus-5
seed-sp-0016-v1</x:v>
      </x:c>
      <x:c r="L6" s="52" t="n">
        <x:v>1</x:v>
      </x:c>
      <x:c r="M6" s="43" t="str">
        <x:v>medium</x:v>
      </x:c>
      <x:c r="N6" s="43" t="str"/>
      <x:c r="O6" s="43" t="str">
        <x:v>S1: selecting, prioritising and sequencing experiments against stated objectives is decision and analysis work; the frozen scope excludes executing experiments, collecting diagnostics and operating plasma controls; S2: intermediate judgment - a proposal or priority list can be revised within days, but the loop that reveals whether a selection was right is a tokamak experimental campaign, and on the small number of pilot-relevant devices the relevant campaigns are separated by many months and sometimes years, which is slower than the weeks-to-months anchor without being decade-scale; S3 cost: cost and throughput diverge sharply - generating and ranking candidate experiment plans is near-free at the margin; S3 throughput: the attempt that actually tests a selection consumes scarce, serially allocated shot time or run days on one of very few devices, so realised throughput is a small number of decision-relevant attempts per year and this is what holds the coding low; S4: intermediate judgment - the selection work carries no construction, growth, curing or qualification floor of its own, but it cannot be realised outside device availability windows set by campaign and shutdown schedules, so it falls short of full physical flexibility; S5: a mis-prioritised campaign consumes scarce device time that cannot be recovered and delays the research programme, which is material and largely unrecoverable cost, but it damages no hardware or people and the plan can be revised for the next campaign; scope caveat: frozen V1 pathway is tokamak research to pilot-plant demonstration; device access assumptions would differ materially for a private single-purpose device versus a shared national facility, which is a country and actor condition and not an intrinsic S judgment; this row is routed to fusion domain review; critical_path_role remains not_assessed.</x:v>
      </x:c>
      <x:c r="P6" s="43" t="str">
        <x:v>Codex / gpt-5.6
reasoning_effort=extra_high
independent-sp-0016-v1</x:v>
      </x:c>
      <x:c r="Q6" s="52" t="n">
        <x:v>2</x:v>
      </x:c>
      <x:c r="R6" s="43" t="str">
        <x:v>low</x:v>
      </x:c>
      <x:c r="S6" s="43" t="str"/>
      <x:c r="T6" s="43" t="str">
        <x:v>S1: 4 — selecting, prioritizing, and sequencing experiments is primarily inference and decision work; S2: 2 — useful selection feedback commonly waits weeks to months for scheduled experiments and analysis; S3 cost: 2 — proposing alternatives is cheap, but validating a selection consumes scarce facility shots; S3 throughput: selection analysis can be parallel, while the attainable validated throughput is serially gated by experiment schedules, creating a cost-throughput divergence; S4: 4 — experiment execution is excluded, so no physical process is intrinsic to the selection task itself; S5: 2 — poor selection wastes scarce shots and delays learning but is normally reversible in later scheduling; scope caveat: the score depends on treating physical execution as excluded while feedback still comes from the tokamak campaign.</x:v>
      </x:c>
      <x:c r="U6" s="43" t="str">
        <x:v>owner_and_domain_review</x:v>
      </x:c>
      <x:c r="V6" s="50"/>
      <x:c r="W6" s="50"/>
    </x:row>
    <x:row r="7" ht="330" customHeight="1">
      <x:c r="A7" s="43" t="str">
        <x:v>exc-sp-0016-s4</x:v>
      </x:c>
      <x:c r="B7" s="43" t="str">
        <x:v>sp-0016</x:v>
      </x:c>
      <x:c r="C7" s="43" t="str">
        <x:v>experiment_selection — Experiment selection</x:v>
      </x:c>
      <x:c r="D7" s="43" t="str">
        <x:v>Fusion, magnetic confinement</x:v>
      </x:c>
      <x:c r="E7" s="43" t="str">
        <x:v>tokamak_research_to_pilot_plant_demonstration / research</x:v>
      </x:c>
      <x:c r="F7" s="43" t="str">
        <x:v>Tokamak research through component and subsystem development, materials qualification, facility build, commissioning, integrated demonstration, and pilot-plant readiness</x:v>
      </x:c>
      <x:c r="G7" s="43" t="str">
        <x:v>S4: Physical flexibility
0: Clock time is dominated by physical floors.
2: Physical processes create meaningful delay, but no single physical, biological, construction, curing, healing, or qualification floor dominates the entire scoped stage.
4: No construction, growth, curing, healing, or qualification floor dominates elapsed time.</x:v>
      </x:c>
      <x:c r="H7" s="43" t="str">
        <x:v>one_point_difference</x:v>
      </x:c>
      <x:c r="I7" s="52" t="n">
        <x:v>1</x:v>
      </x:c>
      <x:c r="J7" s="43" t="str">
        <x:v>low_confidence_load_bearing_stage|missing_or_incompatible_source_support|scope_pathway_application_or_lifecycle_ambiguity
Experiment selection excludes physical execution but depends on scarce shots for feedback; one low-confidence coding makes this stage-boundary choice material.</x:v>
      </x:c>
      <x:c r="K7" s="43" t="str">
        <x:v>Claude Code / claude-opus-5
seed-sp-0016-v1</x:v>
      </x:c>
      <x:c r="L7" s="52" t="n">
        <x:v>3</x:v>
      </x:c>
      <x:c r="M7" s="43" t="str">
        <x:v>medium</x:v>
      </x:c>
      <x:c r="N7" s="43" t="str"/>
      <x:c r="O7" s="43" t="str">
        <x:v>S1: selecting, prioritising and sequencing experiments against stated objectives is decision and analysis work; the frozen scope excludes executing experiments, collecting diagnostics and operating plasma controls; S2: intermediate judgment - a proposal or priority list can be revised within days, but the loop that reveals whether a selection was right is a tokamak experimental campaign, and on the small number of pilot-relevant devices the relevant campaigns are separated by many months and sometimes years, which is slower than the weeks-to-months anchor without being decade-scale; S3 cost: cost and throughput diverge sharply - generating and ranking candidate experiment plans is near-free at the margin; S3 throughput: the attempt that actually tests a selection consumes scarce, serially allocated shot time or run days on one of very few devices, so realised throughput is a small number of decision-relevant attempts per year and this is what holds the coding low; S4: intermediate judgment - the selection work carries no construction, growth, curing or qualification floor of its own, but it cannot be realised outside device availability windows set by campaign and shutdown schedules, so it falls short of full physical flexibility; S5: a mis-prioritised campaign consumes scarce device time that cannot be recovered and delays the research programme, which is material and largely unrecoverable cost, but it damages no hardware or people and the plan can be revised for the next campaign; scope caveat: frozen V1 pathway is tokamak research to pilot-plant demonstration; device access assumptions would differ materially for a private single-purpose device versus a shared national facility, which is a country and actor condition and not an intrinsic S judgment; this row is routed to fusion domain review; critical_path_role remains not_assessed.</x:v>
      </x:c>
      <x:c r="P7" s="43" t="str">
        <x:v>Codex / gpt-5.6
reasoning_effort=extra_high
independent-sp-0016-v1</x:v>
      </x:c>
      <x:c r="Q7" s="52" t="n">
        <x:v>4</x:v>
      </x:c>
      <x:c r="R7" s="43" t="str">
        <x:v>low</x:v>
      </x:c>
      <x:c r="S7" s="43" t="str"/>
      <x:c r="T7" s="43" t="str">
        <x:v>S1: 4 — selecting, prioritizing, and sequencing experiments is primarily inference and decision work; S2: 2 — useful selection feedback commonly waits weeks to months for scheduled experiments and analysis; S3 cost: 2 — proposing alternatives is cheap, but validating a selection consumes scarce facility shots; S3 throughput: selection analysis can be parallel, while the attainable validated throughput is serially gated by experiment schedules, creating a cost-throughput divergence; S4: 4 — experiment execution is excluded, so no physical process is intrinsic to the selection task itself; S5: 2 — poor selection wastes scarce shots and delays learning but is normally reversible in later scheduling; scope caveat: the score depends on treating physical execution as excluded while feedback still comes from the tokamak campaign.</x:v>
      </x:c>
      <x:c r="U7" s="43" t="str">
        <x:v>owner_and_domain_review</x:v>
      </x:c>
      <x:c r="V7" s="50"/>
      <x:c r="W7" s="50"/>
    </x:row>
    <x:row r="8" ht="330" customHeight="1">
      <x:c r="A8" s="43" t="str">
        <x:v>exc-sp-0018-s1</x:v>
      </x:c>
      <x:c r="B8" s="43" t="str">
        <x:v>sp-0018</x:v>
      </x:c>
      <x:c r="C8" s="43" t="str">
        <x:v>plasma_control — Plasma control</x:v>
      </x:c>
      <x:c r="D8" s="43" t="str">
        <x:v>Fusion, magnetic confinement</x:v>
      </x:c>
      <x:c r="E8" s="43" t="str">
        <x:v>tokamak_research_to_pilot_plant_demonstration / development</x:v>
      </x:c>
      <x:c r="F8" s="43" t="str">
        <x:v>Tokamak research through component and subsystem development, materials qualification, facility build, commissioning, integrated demonstration, and pilot-plant readiness</x:v>
      </x:c>
      <x:c r="G8" s="43" t="str">
        <x:v>S1: Information intensity of the scoped stage
0: Progress occurs primarily through physical transformation, biological processes, construction, or accumulated operating time.
2: Stage progress materially combines informational and physical, biological, or operational work; neither clearly dominates under the stated scope.
4: Progress occurs primarily through information processing, analysis, design, inference, communication, or software.</x:v>
      </x:c>
      <x:c r="H8" s="43" t="str">
        <x:v>one_point_difference</x:v>
      </x:c>
      <x:c r="I8" s="52" t="n">
        <x:v>1</x:v>
      </x:c>
      <x:c r="J8" s="43" t="str">
        <x:v>low_confidence_load_bearing_stage|missing_or_incompatible_source_support|scope_pathway_application_or_lifecycle_ambiguity
Plasma control combines digital development with live physical actuation; one low-confidence coding makes the digital/live weighting owner-relevant.</x:v>
      </x:c>
      <x:c r="K8" s="43" t="str">
        <x:v>Claude Code / claude-opus-5
seed-sp-0018-v1</x:v>
      </x:c>
      <x:c r="L8" s="52" t="n">
        <x:v>3</x:v>
      </x:c>
      <x:c r="M8" s="43" t="str">
        <x:v>medium</x:v>
      </x:c>
      <x:c r="N8" s="43" t="str"/>
      <x:c r="O8" s="43" t="str">
        <x:v>S1: intermediate judgment - control-law development, simulator-based tuning and real-time algorithm work are predominantly informational, but the frozen scope includes testing and operation on a physical plasma whose behaviour is not fully captured by models, so the stage is more informational than balanced without reaching the fully informational anchor; S2: the loop is bimodal - simulator iteration runs in hours and shot-to-shot tuning within a run day returns in tens of minutes, but validated control performance depends on campaign access on scarce devices measured in months, and the rubric directs use of the ordinary scoped loop rather than the best case, so the coding sits at the weeks-to-months anchor; S3 cost: cost and throughput diverge - simulator-based control attempts are cheap and parallel at the margin; S3 throughput: each validating attempt consumes a scarce, serially scheduled plasma discharge on one of a small number of devices, with a few tens of shots available per run day and run days separated by long intervals, so decision-relevant throughput is very low; S4: no construction, curing or qualification floor governs the stage, but pulse-repetition limits, machine conditioning between shots and between-campaign shutdowns impose meaningful unavoidable delay; S5: intermediate judgment - an ordinary control error terminates a discharge at the cost of one shot, but the characteristic failure mode on a high-current device is a disruption, which can damage plasma-facing components and impose electromagnetic loads on the machine, so errors are materially worse than containable without being catastrophic in the external-safety sense; scope caveat: frozen V1 pathway is tokamak research to pilot-plant demonstration; disruption consequences scale strongly with device current and stored energy, so a compact high-field variant may warrant a distinct profile; this row is routed to fusion domain review; critical_path_role remains not_assessed.</x:v>
      </x:c>
      <x:c r="P8" s="43" t="str">
        <x:v>Codex / gpt-5.6
reasoning_effort=extra_high
independent-sp-0018-v1</x:v>
      </x:c>
      <x:c r="Q8" s="52" t="n">
        <x:v>2</x:v>
      </x:c>
      <x:c r="R8" s="43" t="str">
        <x:v>low</x:v>
      </x:c>
      <x:c r="S8" s="43" t="str"/>
      <x:c r="T8" s="43" t="str">
        <x:v>S1: 2 — plasma control combines software, inference, and control design with live physical actuation on plasma; S2: 3 — Intermediate judgment: control feedback itself is sub-second and simulation iterates quickly, but learning across physical shot campaigns is slower; S3 cost: 1 — Intermediate judgment: simulated trials are affordable, while live control attempts use scarce, expensive tokamak shots; S3 throughput: simulation parallelizes, but facility access makes decisive live testing largely serial; S4: 2 — facility cadence and physical plasma operation impose meaningful delay without dominating all development work; S5: 1 — Intermediate judgment: errors may terminate shots or threaten equipment, though protection systems can often contain damage; scope caveat: combines development, testing, and operation, so the digital/live weighting is pathway-sensitive.</x:v>
      </x:c>
      <x:c r="U8" s="43" t="str">
        <x:v>owner_and_domain_review</x:v>
      </x:c>
      <x:c r="V8" s="50"/>
      <x:c r="W8" s="50"/>
    </x:row>
    <x:row r="9" ht="330" customHeight="1">
      <x:c r="A9" s="43" t="str">
        <x:v>exc-sp-0018-s2</x:v>
      </x:c>
      <x:c r="B9" s="43" t="str">
        <x:v>sp-0018</x:v>
      </x:c>
      <x:c r="C9" s="43" t="str">
        <x:v>plasma_control — Plasma control</x:v>
      </x:c>
      <x:c r="D9" s="43" t="str">
        <x:v>Fusion, magnetic confinement</x:v>
      </x:c>
      <x:c r="E9" s="43" t="str">
        <x:v>tokamak_research_to_pilot_plant_demonstration / development</x:v>
      </x:c>
      <x:c r="F9" s="43" t="str">
        <x:v>Tokamak research through component and subsystem development, materials qualification, facility build, commissioning, integrated demonstration, and pilot-plant readiness</x:v>
      </x:c>
      <x:c r="G9" s="43" t="str">
        <x:v>S2: Feedback speed
0: Cycles take years to decades.
2: The ordinary learn-test-revise cycle is generally measured in weeks to months, rather than minutes/days or years/decades.
4: Learn-test-revise cycles occur in minutes to days.</x:v>
      </x:c>
      <x:c r="H9" s="43" t="str">
        <x:v>one_point_difference</x:v>
      </x:c>
      <x:c r="I9" s="52" t="n">
        <x:v>1</x:v>
      </x:c>
      <x:c r="J9" s="43" t="str">
        <x:v>low_confidence_load_bearing_stage|missing_or_incompatible_source_support|scope_pathway_application_or_lifecycle_ambiguity
Plasma control combines digital development with live physical actuation; one low-confidence coding makes the digital/live weighting owner-relevant.</x:v>
      </x:c>
      <x:c r="K9" s="43" t="str">
        <x:v>Claude Code / claude-opus-5
seed-sp-0018-v1</x:v>
      </x:c>
      <x:c r="L9" s="52" t="n">
        <x:v>2</x:v>
      </x:c>
      <x:c r="M9" s="43" t="str">
        <x:v>medium</x:v>
      </x:c>
      <x:c r="N9" s="43" t="str"/>
      <x:c r="O9" s="43" t="str">
        <x:v>S1: intermediate judgment - control-law development, simulator-based tuning and real-time algorithm work are predominantly informational, but the frozen scope includes testing and operation on a physical plasma whose behaviour is not fully captured by models, so the stage is more informational than balanced without reaching the fully informational anchor; S2: the loop is bimodal - simulator iteration runs in hours and shot-to-shot tuning within a run day returns in tens of minutes, but validated control performance depends on campaign access on scarce devices measured in months, and the rubric directs use of the ordinary scoped loop rather than the best case, so the coding sits at the weeks-to-months anchor; S3 cost: cost and throughput diverge - simulator-based control attempts are cheap and parallel at the margin; S3 throughput: each validating attempt consumes a scarce, serially scheduled plasma discharge on one of a small number of devices, with a few tens of shots available per run day and run days separated by long intervals, so decision-relevant throughput is very low; S4: no construction, curing or qualification floor governs the stage, but pulse-repetition limits, machine conditioning between shots and between-campaign shutdowns impose meaningful unavoidable delay; S5: intermediate judgment - an ordinary control error terminates a discharge at the cost of one shot, but the characteristic failure mode on a high-current device is a disruption, which can damage plasma-facing components and impose electromagnetic loads on the machine, so errors are materially worse than containable without being catastrophic in the external-safety sense; scope caveat: frozen V1 pathway is tokamak research to pilot-plant demonstration; disruption consequences scale strongly with device current and stored energy, so a compact high-field variant may warrant a distinct profile; this row is routed to fusion domain review; critical_path_role remains not_assessed.</x:v>
      </x:c>
      <x:c r="P9" s="43" t="str">
        <x:v>Codex / gpt-5.6
reasoning_effort=extra_high
independent-sp-0018-v1</x:v>
      </x:c>
      <x:c r="Q9" s="52" t="n">
        <x:v>3</x:v>
      </x:c>
      <x:c r="R9" s="43" t="str">
        <x:v>low</x:v>
      </x:c>
      <x:c r="S9" s="43" t="str"/>
      <x:c r="T9" s="43" t="str">
        <x:v>S1: 2 — plasma control combines software, inference, and control design with live physical actuation on plasma; S2: 3 — Intermediate judgment: control feedback itself is sub-second and simulation iterates quickly, but learning across physical shot campaigns is slower; S3 cost: 1 — Intermediate judgment: simulated trials are affordable, while live control attempts use scarce, expensive tokamak shots; S3 throughput: simulation parallelizes, but facility access makes decisive live testing largely serial; S4: 2 — facility cadence and physical plasma operation impose meaningful delay without dominating all development work; S5: 1 — Intermediate judgment: errors may terminate shots or threaten equipment, though protection systems can often contain damage; scope caveat: combines development, testing, and operation, so the digital/live weighting is pathway-sensitive.</x:v>
      </x:c>
      <x:c r="U9" s="43" t="str">
        <x:v>owner_and_domain_review</x:v>
      </x:c>
      <x:c r="V9" s="50"/>
      <x:c r="W9" s="50"/>
    </x:row>
    <x:row r="10" ht="330" customHeight="1">
      <x:c r="A10" s="43" t="str">
        <x:v>exc-sp-0020-s2</x:v>
      </x:c>
      <x:c r="B10" s="43" t="str">
        <x:v>sp-0020</x:v>
      </x:c>
      <x:c r="C10" s="43" t="str">
        <x:v>materials_qualification — Materials qualification</x:v>
      </x:c>
      <x:c r="D10" s="43" t="str">
        <x:v>Fusion, magnetic confinement</x:v>
      </x:c>
      <x:c r="E10" s="43" t="str">
        <x:v>tokamak_research_to_pilot_plant_demonstration / qualification</x:v>
      </x:c>
      <x:c r="F10" s="43" t="str">
        <x:v>Tokamak research through component and subsystem development, materials qualification, facility build, commissioning, integrated demonstration, and pilot-plant readiness</x:v>
      </x:c>
      <x:c r="G10" s="43" t="str">
        <x:v>S2: Feedback speed
0: Cycles take years to decades.
2: The ordinary learn-test-revise cycle is generally measured in weeks to months, rather than minutes/days or years/decades.
4: Learn-test-revise cycles occur in minutes to days.</x:v>
      </x:c>
      <x:c r="H10" s="43" t="str">
        <x:v>exact_agreement</x:v>
      </x:c>
      <x:c r="I10" s="52" t="n">
        <x:v>0</x:v>
      </x:c>
      <x:c r="J10" s="43" t="str">
        <x:v>missing_or_incompatible_source_support
Both coders assign the load-bearing zero values, but the conclusion depends on an uncited qualification-scale facility and exposure-time premise.</x:v>
      </x:c>
      <x:c r="K10" s="43" t="str">
        <x:v>Claude Code / claude-opus-5
seed-sp-0020-v1</x:v>
      </x:c>
      <x:c r="L10" s="52" t="n">
        <x:v>0</x:v>
      </x:c>
      <x:c r="M10" s="43" t="str">
        <x:v>high</x:v>
      </x:c>
      <x:c r="N10" s="43" t="str"/>
      <x:c r="O10" s="43" t="str">
        <x:v>S1: intermediate judgment - test design, data analysis and surrogate modelling carry real and growing weight, which keeps this above the fully physical anchor, but qualification progress is established by physically exposing specimens to representative loads and environments and cannot be produced by analysis alone; S2: the ordinary loop is years to decades - irradiation campaigns accumulate damage over years, post-irradiation examination follows, and no fusion-spectrum neutron source operates at qualification scale, so the loop that would settle fusion-relevant material behaviour does not yet close at all; S3 cost: cost and throughput diverge - inside a campaign the marginal cost of an additional small specimen is modest and many specimens are irradiated together, which is why small-specimen test technology exists; S3 throughput: campaign opportunities themselves are scarce, expensive and years long in a handful of facilities, so realised decision-relevant throughput is very low and this is what holds the coding at the low end despite per-specimen parallelism; S4: clock time is dominated by physical floors - displacement damage accumulates at a fixed rate that no amount of information can compress, and post-irradiation examination additionally requires cooling and hot-cell access; S5: intermediate judgment - an individual failed test is informative rather than harmful, but an error that spoils a specimen matrix forfeits years of irradiation time that cannot be recovered, and an unsound qualification conclusion propagates into build and licensing commitments; scope caveat: frozen V1 scope is qualification against pilot-relevant loads and environments and excludes discovery, fabrication and commercial-fleet qualification; the absence of a fusion-spectrum irradiation facility is a stated structural condition of this coding and would change materially if such a facility entered service, which is an explicit revisit trigger for later review; this row is routed to fusion domain review; critical_path_role remains not_assessed.</x:v>
      </x:c>
      <x:c r="P10" s="43" t="str">
        <x:v>Codex / gpt-5.6
reasoning_effort=extra_high
independent-sp-0020-v1</x:v>
      </x:c>
      <x:c r="Q10" s="52" t="n">
        <x:v>0</x:v>
      </x:c>
      <x:c r="R10" s="43" t="str">
        <x:v>medium</x:v>
      </x:c>
      <x:c r="S10" s="43" t="str"/>
      <x:c r="T10" s="43" t="str">
        <x:v>S1: 0 — progress is established primarily through physical exposure, testing, and accumulated operating evidence; S2: 0 — pilot-relevant qualification cycles can extend from years toward decades; S3 cost: 0 — representative material tests require scarce, expensive facilities and specimens; S3 throughput: attainable attempts are limited and often serial because relevant environments and long exposures cannot be freely replicated; S4: 0 — qualification and accumulated exposure floors dominate elapsed time; S5: 0 — qualification errors can admit unsafe or unreliable materials with severe and potentially irreversible downstream consequences; scope caveat: pilot-relevant qualification only, not initial screening or commercial-fleet qualification.</x:v>
      </x:c>
      <x:c r="U10" s="43" t="str">
        <x:v>owner_and_domain_review</x:v>
      </x:c>
      <x:c r="V10" s="50"/>
      <x:c r="W10" s="50"/>
    </x:row>
    <x:row r="11" ht="330" customHeight="1">
      <x:c r="A11" s="43" t="str">
        <x:v>exc-sp-0020-s4</x:v>
      </x:c>
      <x:c r="B11" s="43" t="str">
        <x:v>sp-0020</x:v>
      </x:c>
      <x:c r="C11" s="43" t="str">
        <x:v>materials_qualification — Materials qualification</x:v>
      </x:c>
      <x:c r="D11" s="43" t="str">
        <x:v>Fusion, magnetic confinement</x:v>
      </x:c>
      <x:c r="E11" s="43" t="str">
        <x:v>tokamak_research_to_pilot_plant_demonstration / qualification</x:v>
      </x:c>
      <x:c r="F11" s="43" t="str">
        <x:v>Tokamak research through component and subsystem development, materials qualification, facility build, commissioning, integrated demonstration, and pilot-plant readiness</x:v>
      </x:c>
      <x:c r="G11" s="43" t="str">
        <x:v>S4: Physical flexibility
0: Clock time is dominated by physical floors.
2: Physical processes create meaningful delay, but no single physical, biological, construction, curing, healing, or qualification floor dominates the entire scoped stage.
4: No construction, growth, curing, healing, or qualification floor dominates elapsed time.</x:v>
      </x:c>
      <x:c r="H11" s="43" t="str">
        <x:v>exact_agreement</x:v>
      </x:c>
      <x:c r="I11" s="52" t="n">
        <x:v>0</x:v>
      </x:c>
      <x:c r="J11" s="43" t="str">
        <x:v>missing_or_incompatible_source_support
Both coders assign the load-bearing zero values, but the conclusion depends on an uncited qualification-scale facility and exposure-time premise.</x:v>
      </x:c>
      <x:c r="K11" s="43" t="str">
        <x:v>Claude Code / claude-opus-5
seed-sp-0020-v1</x:v>
      </x:c>
      <x:c r="L11" s="52" t="n">
        <x:v>0</x:v>
      </x:c>
      <x:c r="M11" s="43" t="str">
        <x:v>high</x:v>
      </x:c>
      <x:c r="N11" s="43" t="str"/>
      <x:c r="O11" s="43" t="str">
        <x:v>S1: intermediate judgment - test design, data analysis and surrogate modelling carry real and growing weight, which keeps this above the fully physical anchor, but qualification progress is established by physically exposing specimens to representative loads and environments and cannot be produced by analysis alone; S2: the ordinary loop is years to decades - irradiation campaigns accumulate damage over years, post-irradiation examination follows, and no fusion-spectrum neutron source operates at qualification scale, so the loop that would settle fusion-relevant material behaviour does not yet close at all; S3 cost: cost and throughput diverge - inside a campaign the marginal cost of an additional small specimen is modest and many specimens are irradiated together, which is why small-specimen test technology exists; S3 throughput: campaign opportunities themselves are scarce, expensive and years long in a handful of facilities, so realised decision-relevant throughput is very low and this is what holds the coding at the low end despite per-specimen parallelism; S4: clock time is dominated by physical floors - displacement damage accumulates at a fixed rate that no amount of information can compress, and post-irradiation examination additionally requires cooling and hot-cell access; S5: intermediate judgment - an individual failed test is informative rather than harmful, but an error that spoils a specimen matrix forfeits years of irradiation time that cannot be recovered, and an unsound qualification conclusion propagates into build and licensing commitments; scope caveat: frozen V1 scope is qualification against pilot-relevant loads and environments and excludes discovery, fabrication and commercial-fleet qualification; the absence of a fusion-spectrum irradiation facility is a stated structural condition of this coding and would change materially if such a facility entered service, which is an explicit revisit trigger for later review; this row is routed to fusion domain review; critical_path_role remains not_assessed.</x:v>
      </x:c>
      <x:c r="P11" s="43" t="str">
        <x:v>Codex / gpt-5.6
reasoning_effort=extra_high
independent-sp-0020-v1</x:v>
      </x:c>
      <x:c r="Q11" s="52" t="n">
        <x:v>0</x:v>
      </x:c>
      <x:c r="R11" s="43" t="str">
        <x:v>medium</x:v>
      </x:c>
      <x:c r="S11" s="43" t="str"/>
      <x:c r="T11" s="43" t="str">
        <x:v>S1: 0 — progress is established primarily through physical exposure, testing, and accumulated operating evidence; S2: 0 — pilot-relevant qualification cycles can extend from years toward decades; S3 cost: 0 — representative material tests require scarce, expensive facilities and specimens; S3 throughput: attainable attempts are limited and often serial because relevant environments and long exposures cannot be freely replicated; S4: 0 — qualification and accumulated exposure floors dominate elapsed time; S5: 0 — qualification errors can admit unsafe or unreliable materials with severe and potentially irreversible downstream consequences; scope caveat: pilot-relevant qualification only, not initial screening or commercial-fleet qualification.</x:v>
      </x:c>
      <x:c r="U11" s="43" t="str">
        <x:v>owner_and_domain_review</x:v>
      </x:c>
      <x:c r="V11" s="50"/>
      <x:c r="W11" s="50"/>
    </x:row>
    <x:row r="12" ht="330" customHeight="1">
      <x:c r="A12" s="43" t="str">
        <x:v>exc-sp-0024-s3</x:v>
      </x:c>
      <x:c r="B12" s="43" t="str">
        <x:v>sp-0024</x:v>
      </x:c>
      <x:c r="C12" s="43" t="str">
        <x:v>tritium_and_fuel_cycle — Tritium and fuel cycle</x:v>
      </x:c>
      <x:c r="D12" s="43" t="str">
        <x:v>Fusion, magnetic confinement</x:v>
      </x:c>
      <x:c r="E12" s="43" t="str">
        <x:v>tokamak_research_to_pilot_plant_demonstration / development</x:v>
      </x:c>
      <x:c r="F12" s="43" t="str">
        <x:v>Tokamak research through component and subsystem development, materials qualification, facility build, commissioning, integrated demonstration, and pilot-plant readiness</x:v>
      </x:c>
      <x:c r="G12" s="43" t="str">
        <x:v>S3: Experiment affordability and throughput
0: Attempts are scarce and expensive.
2: Attempts require meaningful resources or scarce systems but remain repeatable; throughput or parallelism is material but constrained.
4: Attempts are near-free and parallel.</x:v>
      </x:c>
      <x:c r="H12" s="43" t="str">
        <x:v>one_point_difference</x:v>
      </x:c>
      <x:c r="I12" s="52" t="n">
        <x:v>1</x:v>
      </x:c>
      <x:c r="J12" s="43" t="str">
        <x:v>low_confidence_load_bearing_stage|missing_or_incompatible_source_support
Both coders report low confidence for scarce tritium-capable attempts and severe containment or inventory consequences, with no resolving source support.</x:v>
      </x:c>
      <x:c r="K12" s="43" t="str">
        <x:v>Claude Code / claude-opus-5
seed-sp-0024-v1</x:v>
      </x:c>
      <x:c r="L12" s="52" t="n">
        <x:v>1</x:v>
      </x:c>
      <x:c r="M12" s="43" t="str">
        <x:v>low</x:v>
      </x:c>
      <x:c r="N12" s="43" t="str"/>
      <x:c r="O12" s="43" t="str">
        <x:v>S1: intermediate judgment - process design, inventory modelling and permeation analysis are real informational contributors, which keeps this above the fully physical anchor, but progress is set by physical processing experiments in a very small number of licensed facilities and the design cannot be closed without empirical data that does not exist at pilot scale; S2: intermediate judgment - surrogate hydrogen and deuterium loops iterate in weeks to months, but tritium-relevant results require licensed-facility campaigns with their own authorisation cycles measured in many months to years, which is slower than the weeks-to-months anchor without being decade-scale; S3 cost: cost and throughput diverge - surrogate loops are inexpensive and repeatable, while any attempt using tritium depends on a scarce and costly inventory and on facilities that are few worldwide; S3 throughput: surrogate attempts parallelise, but decision-relevant tritium attempts are limited by inventory, licensed floor space and authorisation, so realised throughput is very low and this holds the coding at the low end; S4: intermediate judgment - the design work carries no construction or curing floor of its own, but tritium inventory build-up, permeation and retention equilibration times, and licensed-facility access windows impose hard minimum durations on every decision-relevant experiment; S5: intermediate judgment - routine design and surrogate errors are recoverable, but errors involving tritium produce irreversible release of a regulated radionuclide with contamination, reporting and licence consequences that extend beyond the operator, placing the stage well below the containable-error anchor; scope caveat: frozen V1 scope is pilot-relevant design, engineering, testing and pre-integration and excludes fabrication after design maturity, construction, commissioning and fleet rollout; confidence is low because pilot-scale fuel-cycle performance is not demonstrated anywhere and the coding rests on inference from smaller-scale practice; this row is routed to fusion domain review as a priority case; critical_path_role remains not_assessed.</x:v>
      </x:c>
      <x:c r="P12" s="43" t="str">
        <x:v>Codex / gpt-5.6
reasoning_effort=extra_high
independent-sp-0024-v1</x:v>
      </x:c>
      <x:c r="Q12" s="52" t="n">
        <x:v>0</x:v>
      </x:c>
      <x:c r="R12" s="43" t="str">
        <x:v>low</x:v>
      </x:c>
      <x:c r="S12" s="43" t="str"/>
      <x:c r="T12" s="43" t="str">
        <x:v>S1: 1 — Intermediate judgment: system design and inventory modelling matter, but physical tritium handling, processing, containment, and accountancy dominate progress; S2: 1 — Intermediate judgment: representative subsystem iterations commonly take months to years; S3 cost: 0 — tritium-capable attempts require scarce, tightly controlled, expensive facilities and material inventories; S3 throughput: radiological controls and limited infrastructure make testing highly constrained and often serial; S4: 1 — Intermediate judgment: material handling, conditioning, and integration floors dominate much of elapsed time but not every design task; S5: 0 — containment or inventory errors can create severe radiological, safety, and regulatory consequences; scope caveat: pilot-relevant pre-integration development only, not routine commercial operation.</x:v>
      </x:c>
      <x:c r="U12" s="43" t="str">
        <x:v>owner_and_domain_review</x:v>
      </x:c>
      <x:c r="V12" s="50"/>
      <x:c r="W12" s="50"/>
    </x:row>
    <x:row r="13" ht="330" customHeight="1">
      <x:c r="A13" s="43" t="str">
        <x:v>exc-sp-0024-s5</x:v>
      </x:c>
      <x:c r="B13" s="43" t="str">
        <x:v>sp-0024</x:v>
      </x:c>
      <x:c r="C13" s="43" t="str">
        <x:v>tritium_and_fuel_cycle — Tritium and fuel cycle</x:v>
      </x:c>
      <x:c r="D13" s="43" t="str">
        <x:v>Fusion, magnetic confinement</x:v>
      </x:c>
      <x:c r="E13" s="43" t="str">
        <x:v>tokamak_research_to_pilot_plant_demonstration / development</x:v>
      </x:c>
      <x:c r="F13" s="43" t="str">
        <x:v>Tokamak research through component and subsystem development, materials qualification, facility build, commissioning, integrated demonstration, and pilot-plant readiness</x:v>
      </x:c>
      <x:c r="G13" s="43" t="str">
        <x:v>S5: Intrinsic error tolerance
0: Errors are catastrophic or irreversible.
2: Errors create material cost, delay, or review burdens, but are usually containable and reversible within the stated scope.
4: Errors are cheap, reversible, and low-externality.</x:v>
      </x:c>
      <x:c r="H13" s="43" t="str">
        <x:v>one_point_difference</x:v>
      </x:c>
      <x:c r="I13" s="52" t="n">
        <x:v>1</x:v>
      </x:c>
      <x:c r="J13" s="43" t="str">
        <x:v>low_confidence_load_bearing_stage|missing_or_incompatible_source_support
Both coders report low confidence for scarce tritium-capable attempts and severe containment or inventory consequences, with no resolving source support.</x:v>
      </x:c>
      <x:c r="K13" s="43" t="str">
        <x:v>Claude Code / claude-opus-5
seed-sp-0024-v1</x:v>
      </x:c>
      <x:c r="L13" s="52" t="n">
        <x:v>1</x:v>
      </x:c>
      <x:c r="M13" s="43" t="str">
        <x:v>low</x:v>
      </x:c>
      <x:c r="N13" s="43" t="str"/>
      <x:c r="O13" s="43" t="str">
        <x:v>S1: intermediate judgment - process design, inventory modelling and permeation analysis are real informational contributors, which keeps this above the fully physical anchor, but progress is set by physical processing experiments in a very small number of licensed facilities and the design cannot be closed without empirical data that does not exist at pilot scale; S2: intermediate judgment - surrogate hydrogen and deuterium loops iterate in weeks to months, but tritium-relevant results require licensed-facility campaigns with their own authorisation cycles measured in many months to years, which is slower than the weeks-to-months anchor without being decade-scale; S3 cost: cost and throughput diverge - surrogate loops are inexpensive and repeatable, while any attempt using tritium depends on a scarce and costly inventory and on facilities that are few worldwide; S3 throughput: surrogate attempts parallelise, but decision-relevant tritium attempts are limited by inventory, licensed floor space and authorisation, so realised throughput is very low and this holds the coding at the low end; S4: intermediate judgment - the design work carries no construction or curing floor of its own, but tritium inventory build-up, permeation and retention equilibration times, and licensed-facility access windows impose hard minimum durations on every decision-relevant experiment; S5: intermediate judgment - routine design and surrogate errors are recoverable, but errors involving tritium produce irreversible release of a regulated radionuclide with contamination, reporting and licence consequences that extend beyond the operator, placing the stage well below the containable-error anchor; scope caveat: frozen V1 scope is pilot-relevant design, engineering, testing and pre-integration and excludes fabrication after design maturity, construction, commissioning and fleet rollout; confidence is low because pilot-scale fuel-cycle performance is not demonstrated anywhere and the coding rests on inference from smaller-scale practice; this row is routed to fusion domain review as a priority case; critical_path_role remains not_assessed.</x:v>
      </x:c>
      <x:c r="P13" s="43" t="str">
        <x:v>Codex / gpt-5.6
reasoning_effort=extra_high
independent-sp-0024-v1</x:v>
      </x:c>
      <x:c r="Q13" s="52" t="n">
        <x:v>0</x:v>
      </x:c>
      <x:c r="R13" s="43" t="str">
        <x:v>low</x:v>
      </x:c>
      <x:c r="S13" s="43" t="str"/>
      <x:c r="T13" s="43" t="str">
        <x:v>S1: 1 — Intermediate judgment: system design and inventory modelling matter, but physical tritium handling, processing, containment, and accountancy dominate progress; S2: 1 — Intermediate judgment: representative subsystem iterations commonly take months to years; S3 cost: 0 — tritium-capable attempts require scarce, tightly controlled, expensive facilities and material inventories; S3 throughput: radiological controls and limited infrastructure make testing highly constrained and often serial; S4: 1 — Intermediate judgment: material handling, conditioning, and integration floors dominate much of elapsed time but not every design task; S5: 0 — containment or inventory errors can create severe radiological, safety, and regulatory consequences; scope caveat: pilot-relevant pre-integration development only, not routine commercial operation.</x:v>
      </x:c>
      <x:c r="U13" s="43" t="str">
        <x:v>owner_and_domain_review</x:v>
      </x:c>
      <x:c r="V13" s="50"/>
      <x:c r="W13" s="50"/>
    </x:row>
    <x:row r="14" ht="330" customHeight="1">
      <x:c r="A14" s="43" t="str">
        <x:v>exc-sp-0025-s2</x:v>
      </x:c>
      <x:c r="B14" s="43" t="str">
        <x:v>sp-0025</x:v>
      </x:c>
      <x:c r="C14" s="43" t="str">
        <x:v>blankets — Blankets</x:v>
      </x:c>
      <x:c r="D14" s="43" t="str">
        <x:v>Fusion, magnetic confinement</x:v>
      </x:c>
      <x:c r="E14" s="43" t="str">
        <x:v>tokamak_research_to_pilot_plant_demonstration / development</x:v>
      </x:c>
      <x:c r="F14" s="43" t="str">
        <x:v>Tokamak research through component and subsystem development, materials qualification, facility build, commissioning, integrated demonstration, and pilot-plant readiness</x:v>
      </x:c>
      <x:c r="G14" s="43" t="str">
        <x:v>S2: Feedback speed
0: Cycles take years to decades.
2: The ordinary learn-test-revise cycle is generally measured in weeks to months, rather than minutes/days or years/decades.
4: Learn-test-revise cycles occur in minutes to days.</x:v>
      </x:c>
      <x:c r="H14" s="43" t="str">
        <x:v>one_point_difference</x:v>
      </x:c>
      <x:c r="I14" s="52" t="n">
        <x:v>1</x:v>
      </x:c>
      <x:c r="J14" s="43" t="str">
        <x:v>low_confidence_load_bearing_stage|missing_or_incompatible_source_support|scope_pathway_application_or_lifecycle_ambiguity
Both coders report low confidence and the blanket concept/pathway is not frozen tightly enough for evidence-free speed and error-tolerance disposition.</x:v>
      </x:c>
      <x:c r="K14" s="43" t="str">
        <x:v>Claude Code / claude-opus-5
seed-sp-0025-v1</x:v>
      </x:c>
      <x:c r="L14" s="52" t="n">
        <x:v>0</x:v>
      </x:c>
      <x:c r="M14" s="43" t="str">
        <x:v>low</x:v>
      </x:c>
      <x:c r="N14" s="43" t="str"/>
      <x:c r="O14" s="43" t="str">
        <x:v>S1: neutronics, thermo-hydraulic and thermo-mechanical simulation carry an unusually large share of blanket development precisely because no integrated test environment exists, but the design cannot be closed without physical breeding and thermo-mechanical validation; both are material and neither dominates; S2: the ordinary loop for validating a breeding-blanket concept is build a module and expose it to a fusion-relevant neutron environment, which is measured in years to decades and, for an integrated test, is not presently available at all; S3 cost: cost and throughput diverge - sub-component thermo-hydraulic mock-ups and neutronics benchmark measurements are repeatable at moderate cost and can be run in parallel, which keeps the coding above the scarce-and-expensive anchor; S3 throughput: no attempt that tests integrated breeding-blanket performance in a fusion neutron spectrum is presently available at any price, so decision-relevant throughput is effectively zero; S4: intermediate judgment - design and analysis proceed with no floor of their own, but every validating step is gated by fabrication cycles and by exposure durations in an environment that does not yet exist, so elapsed time is largely outside the stage's control without a single named floor dominating the design work itself; S5: intermediate judgment - analytical errors are correctable while the work remains on paper, but validating articles are few and expensive, and errors in systems handling lithium-lead, beryllium or tritium-bearing coolant carry chemical and radiological consequences that are not cheaply reversible; scope caveat: frozen V1 scope is pilot-relevant design, engineering, testing and pre-integration and excludes fabrication after design maturity, construction, commissioning and fleet rollout; confidence is low because the tritium breeding ratio and integrated blanket performance are unvalidated at any scale and different blanket concepts may warrant distinct profiles; this row is routed to fusion domain review as a priority case; critical_path_role remains not_assessed.</x:v>
      </x:c>
      <x:c r="P14" s="43" t="str">
        <x:v>Codex / gpt-5.6
reasoning_effort=extra_high
independent-sp-0025-v1</x:v>
      </x:c>
      <x:c r="Q14" s="52" t="n">
        <x:v>1</x:v>
      </x:c>
      <x:c r="R14" s="43" t="str">
        <x:v>low</x:v>
      </x:c>
      <x:c r="S14" s="43" t="str"/>
      <x:c r="T14" s="43" t="str">
        <x:v>S1: 2 — blanket progress combines neutronics, thermal, structural, and fuel-cycle design with physical prototype and integration tests; S2: 1 — Intermediate judgment: meaningful blanket iterations commonly take months to years; S3 cost: 1 — Intermediate judgment: analytical and coupon attempts are repeatable, but representative integrated tests are expensive and scarce; S3 throughput: subcomponent work can parallelize, while relevant irradiation and integrated facilities sharply constrain throughput; S4: 1 — Intermediate judgment: fabrication, exposure, and integration floors dominate much of elapsed time; S5: 0 — failures can compromise heat removal, tritium functions, structural integrity, or radiological safety; scope caveat: pilot-relevant design, engineering, testing, and pre-integration only.</x:v>
      </x:c>
      <x:c r="U14" s="43" t="str">
        <x:v>owner_and_domain_review</x:v>
      </x:c>
      <x:c r="V14" s="50"/>
      <x:c r="W14" s="50"/>
    </x:row>
    <x:row r="15" ht="330" customHeight="1">
      <x:c r="A15" s="43" t="str">
        <x:v>exc-sp-0025-s5</x:v>
      </x:c>
      <x:c r="B15" s="43" t="str">
        <x:v>sp-0025</x:v>
      </x:c>
      <x:c r="C15" s="43" t="str">
        <x:v>blankets — Blankets</x:v>
      </x:c>
      <x:c r="D15" s="43" t="str">
        <x:v>Fusion, magnetic confinement</x:v>
      </x:c>
      <x:c r="E15" s="43" t="str">
        <x:v>tokamak_research_to_pilot_plant_demonstration / development</x:v>
      </x:c>
      <x:c r="F15" s="43" t="str">
        <x:v>Tokamak research through component and subsystem development, materials qualification, facility build, commissioning, integrated demonstration, and pilot-plant readiness</x:v>
      </x:c>
      <x:c r="G15" s="43" t="str">
        <x:v>S5: Intrinsic error tolerance
0: Errors are catastrophic or irreversible.
2: Errors create material cost, delay, or review burdens, but are usually containable and reversible within the stated scope.
4: Errors are cheap, reversible, and low-externality.</x:v>
      </x:c>
      <x:c r="H15" s="43" t="str">
        <x:v>one_point_difference</x:v>
      </x:c>
      <x:c r="I15" s="52" t="n">
        <x:v>1</x:v>
      </x:c>
      <x:c r="J15" s="43" t="str">
        <x:v>low_confidence_load_bearing_stage|missing_or_incompatible_source_support|scope_pathway_application_or_lifecycle_ambiguity
Both coders report low confidence and the blanket concept/pathway is not frozen tightly enough for evidence-free speed and error-tolerance disposition.</x:v>
      </x:c>
      <x:c r="K15" s="43" t="str">
        <x:v>Claude Code / claude-opus-5
seed-sp-0025-v1</x:v>
      </x:c>
      <x:c r="L15" s="52" t="n">
        <x:v>1</x:v>
      </x:c>
      <x:c r="M15" s="43" t="str">
        <x:v>low</x:v>
      </x:c>
      <x:c r="N15" s="43" t="str"/>
      <x:c r="O15" s="43" t="str">
        <x:v>S1: neutronics, thermo-hydraulic and thermo-mechanical simulation carry an unusually large share of blanket development precisely because no integrated test environment exists, but the design cannot be closed without physical breeding and thermo-mechanical validation; both are material and neither dominates; S2: the ordinary loop for validating a breeding-blanket concept is build a module and expose it to a fusion-relevant neutron environment, which is measured in years to decades and, for an integrated test, is not presently available at all; S3 cost: cost and throughput diverge - sub-component thermo-hydraulic mock-ups and neutronics benchmark measurements are repeatable at moderate cost and can be run in parallel, which keeps the coding above the scarce-and-expensive anchor; S3 throughput: no attempt that tests integrated breeding-blanket performance in a fusion neutron spectrum is presently available at any price, so decision-relevant throughput is effectively zero; S4: intermediate judgment - design and analysis proceed with no floor of their own, but every validating step is gated by fabrication cycles and by exposure durations in an environment that does not yet exist, so elapsed time is largely outside the stage's control without a single named floor dominating the design work itself; S5: intermediate judgment - analytical errors are correctable while the work remains on paper, but validating articles are few and expensive, and errors in systems handling lithium-lead, beryllium or tritium-bearing coolant carry chemical and radiological consequences that are not cheaply reversible; scope caveat: frozen V1 scope is pilot-relevant design, engineering, testing and pre-integration and excludes fabrication after design maturity, construction, commissioning and fleet rollout; confidence is low because the tritium breeding ratio and integrated blanket performance are unvalidated at any scale and different blanket concepts may warrant distinct profiles; this row is routed to fusion domain review as a priority case; critical_path_role remains not_assessed.</x:v>
      </x:c>
      <x:c r="P15" s="43" t="str">
        <x:v>Codex / gpt-5.6
reasoning_effort=extra_high
independent-sp-0025-v1</x:v>
      </x:c>
      <x:c r="Q15" s="52" t="n">
        <x:v>0</x:v>
      </x:c>
      <x:c r="R15" s="43" t="str">
        <x:v>low</x:v>
      </x:c>
      <x:c r="S15" s="43" t="str"/>
      <x:c r="T15" s="43" t="str">
        <x:v>S1: 2 — blanket progress combines neutronics, thermal, structural, and fuel-cycle design with physical prototype and integration tests; S2: 1 — Intermediate judgment: meaningful blanket iterations commonly take months to years; S3 cost: 1 — Intermediate judgment: analytical and coupon attempts are repeatable, but representative integrated tests are expensive and scarce; S3 throughput: subcomponent work can parallelize, while relevant irradiation and integrated facilities sharply constrain throughput; S4: 1 — Intermediate judgment: fabrication, exposure, and integration floors dominate much of elapsed time; S5: 0 — failures can compromise heat removal, tritium functions, structural integrity, or radiological safety; scope caveat: pilot-relevant design, engineering, testing, and pre-integration only.</x:v>
      </x:c>
      <x:c r="U15" s="43" t="str">
        <x:v>owner_and_domain_review</x:v>
      </x:c>
      <x:c r="V15" s="50"/>
      <x:c r="W15" s="50"/>
    </x:row>
    <x:row r="16" ht="330" customHeight="1">
      <x:c r="A16" s="43" t="str">
        <x:v>exc-sp-0028-s3</x:v>
      </x:c>
      <x:c r="B16" s="43" t="str">
        <x:v>sp-0028</x:v>
      </x:c>
      <x:c r="C16" s="43" t="str">
        <x:v>commissioning — Commissioning</x:v>
      </x:c>
      <x:c r="D16" s="43" t="str">
        <x:v>Fusion, magnetic confinement</x:v>
      </x:c>
      <x:c r="E16" s="43" t="str">
        <x:v>tokamak_research_to_pilot_plant_demonstration / demonstration</x:v>
      </x:c>
      <x:c r="F16" s="43" t="str">
        <x:v>Tokamak research through component and subsystem development, materials qualification, facility build, commissioning, integrated demonstration, and pilot-plant readiness</x:v>
      </x:c>
      <x:c r="G16" s="43" t="str">
        <x:v>S3: Experiment affordability and throughput
0: Attempts are scarce and expensive.
2: Attempts require meaningful resources or scarce systems but remain repeatable; throughput or parallelism is material but constrained.
4: Attempts are near-free and parallel.</x:v>
      </x:c>
      <x:c r="H16" s="43" t="str">
        <x:v>one_point_difference</x:v>
      </x:c>
      <x:c r="I16" s="52" t="n">
        <x:v>1</x:v>
      </x:c>
      <x:c r="J16" s="43" t="str">
        <x:v>low_confidence_load_bearing_stage|missing_or_incompatible_source_support
Commissioning uses a unique integrated facility; a low-confidence coding and blank support materially affect attempt scarcity and consequence judgments.</x:v>
      </x:c>
      <x:c r="K16" s="43" t="str">
        <x:v>Claude Code / claude-opus-5
seed-sp-0028-v1</x:v>
      </x:c>
      <x:c r="L16" s="52" t="n">
        <x:v>1</x:v>
      </x:c>
      <x:c r="M16" s="43" t="str">
        <x:v>medium</x:v>
      </x:c>
      <x:c r="N16" s="43" t="str"/>
      <x:c r="O16" s="43" t="str">
        <x:v>S1: intermediate judgment - commissioning generates and consumes large volumes of data and much of the fault diagnosis is analytical, which keeps this above the fully physical anchor, but progress is established by physically energising and operating installed systems in sequence; S2: intermediate judgment - individual interface checks resolve in days, but the integrated loop of energise, find a fault, gain access, repair and re-test runs weeks to months per iteration because access to installed hardware is restricted; that is slower than the weeks-to-months anchor for the loop that governs progress; S3 cost: cost and throughput diverge - sub-system checks are repeatable at modest marginal cost and a few proceed in parallel across independent systems; S3 throughput: every integrated attempt uses the single facility serially and consumes facility operating cost and staff, so decision-relevant throughput is bounded by one machine and is very low; S4: clock time is dominated by physical floors - vacuum pumpdown, bakeout, cryogenic cooldown and warmup, and access restrictions each impose fixed multi-week durations on every fault-and-repair cycle; S5: intermediate judgment - most commissioning faults are diagnosed and repaired at the cost of schedule, but errors during first energisation of magnets or first vacuum and cryogenic operation can damage installed hardware that is extremely difficult to replace in situ; scope caveat: frozen V1 scope is bringing the assembled facility into test operation and establishing integrated readiness; it excludes construction and the subsequent reliability-demonstration campaign; this row is routed to fusion domain review; critical_path_role remains not_assessed.</x:v>
      </x:c>
      <x:c r="P16" s="43" t="str">
        <x:v>Codex / gpt-5.6
reasoning_effort=extra_high
independent-sp-0028-v1</x:v>
      </x:c>
      <x:c r="Q16" s="52" t="n">
        <x:v>0</x:v>
      </x:c>
      <x:c r="R16" s="43" t="str">
        <x:v>low</x:v>
      </x:c>
      <x:c r="S16" s="43" t="str"/>
      <x:c r="T16" s="43" t="str">
        <x:v>S1: 1 — Intermediate judgment: procedures, diagnostics, and interface reasoning are informational, but integrated physical startup and system proving dominate progress; S2: 1 — Intermediate judgment: commissioning cycles commonly span months to years between system access, fixes, and retests; S3 cost: 0 — integrated startup attempts use a unique facility, specialist teams, energy, and high-value hardware; S3 throughput: interface dependencies and facility states make decisive attempts scarce and largely serial; S4: 0 — hardware access, conditioning, cooldown, repair, and restart floors dominate elapsed time; S5: 0 — commissioning errors can damage unique equipment or create serious safety consequences; scope caveat: initial integrated readiness only, excluding construction and the later reliability campaign.</x:v>
      </x:c>
      <x:c r="U16" s="43" t="str">
        <x:v>owner_and_domain_review</x:v>
      </x:c>
      <x:c r="V16" s="50"/>
      <x:c r="W16" s="50"/>
    </x:row>
    <x:row r="17" ht="330" customHeight="1">
      <x:c r="A17" s="43" t="str">
        <x:v>exc-sp-0028-s5</x:v>
      </x:c>
      <x:c r="B17" s="43" t="str">
        <x:v>sp-0028</x:v>
      </x:c>
      <x:c r="C17" s="43" t="str">
        <x:v>commissioning — Commissioning</x:v>
      </x:c>
      <x:c r="D17" s="43" t="str">
        <x:v>Fusion, magnetic confinement</x:v>
      </x:c>
      <x:c r="E17" s="43" t="str">
        <x:v>tokamak_research_to_pilot_plant_demonstration / demonstration</x:v>
      </x:c>
      <x:c r="F17" s="43" t="str">
        <x:v>Tokamak research through component and subsystem development, materials qualification, facility build, commissioning, integrated demonstration, and pilot-plant readiness</x:v>
      </x:c>
      <x:c r="G17" s="43" t="str">
        <x:v>S5: Intrinsic error tolerance
0: Errors are catastrophic or irreversible.
2: Errors create material cost, delay, or review burdens, but are usually containable and reversible within the stated scope.
4: Errors are cheap, reversible, and low-externality.</x:v>
      </x:c>
      <x:c r="H17" s="43" t="str">
        <x:v>one_point_difference</x:v>
      </x:c>
      <x:c r="I17" s="52" t="n">
        <x:v>1</x:v>
      </x:c>
      <x:c r="J17" s="43" t="str">
        <x:v>low_confidence_load_bearing_stage|missing_or_incompatible_source_support
Commissioning uses a unique integrated facility; a low-confidence coding and blank support materially affect attempt scarcity and consequence judgments.</x:v>
      </x:c>
      <x:c r="K17" s="43" t="str">
        <x:v>Claude Code / claude-opus-5
seed-sp-0028-v1</x:v>
      </x:c>
      <x:c r="L17" s="52" t="n">
        <x:v>1</x:v>
      </x:c>
      <x:c r="M17" s="43" t="str">
        <x:v>medium</x:v>
      </x:c>
      <x:c r="N17" s="43" t="str"/>
      <x:c r="O17" s="43" t="str">
        <x:v>S1: intermediate judgment - commissioning generates and consumes large volumes of data and much of the fault diagnosis is analytical, which keeps this above the fully physical anchor, but progress is established by physically energising and operating installed systems in sequence; S2: intermediate judgment - individual interface checks resolve in days, but the integrated loop of energise, find a fault, gain access, repair and re-test runs weeks to months per iteration because access to installed hardware is restricted; that is slower than the weeks-to-months anchor for the loop that governs progress; S3 cost: cost and throughput diverge - sub-system checks are repeatable at modest marginal cost and a few proceed in parallel across independent systems; S3 throughput: every integrated attempt uses the single facility serially and consumes facility operating cost and staff, so decision-relevant throughput is bounded by one machine and is very low; S4: clock time is dominated by physical floors - vacuum pumpdown, bakeout, cryogenic cooldown and warmup, and access restrictions each impose fixed multi-week durations on every fault-and-repair cycle; S5: intermediate judgment - most commissioning faults are diagnosed and repaired at the cost of schedule, but errors during first energisation of magnets or first vacuum and cryogenic operation can damage installed hardware that is extremely difficult to replace in situ; scope caveat: frozen V1 scope is bringing the assembled facility into test operation and establishing integrated readiness; it excludes construction and the subsequent reliability-demonstration campaign; this row is routed to fusion domain review; critical_path_role remains not_assessed.</x:v>
      </x:c>
      <x:c r="P17" s="43" t="str">
        <x:v>Codex / gpt-5.6
reasoning_effort=extra_high
independent-sp-0028-v1</x:v>
      </x:c>
      <x:c r="Q17" s="52" t="n">
        <x:v>0</x:v>
      </x:c>
      <x:c r="R17" s="43" t="str">
        <x:v>low</x:v>
      </x:c>
      <x:c r="S17" s="43" t="str"/>
      <x:c r="T17" s="43" t="str">
        <x:v>S1: 1 — Intermediate judgment: procedures, diagnostics, and interface reasoning are informational, but integrated physical startup and system proving dominate progress; S2: 1 — Intermediate judgment: commissioning cycles commonly span months to years between system access, fixes, and retests; S3 cost: 0 — integrated startup attempts use a unique facility, specialist teams, energy, and high-value hardware; S3 throughput: interface dependencies and facility states make decisive attempts scarce and largely serial; S4: 0 — hardware access, conditioning, cooldown, repair, and restart floors dominate elapsed time; S5: 0 — commissioning errors can damage unique equipment or create serious safety consequences; scope caveat: initial integrated readiness only, excluding construction and the later reliability campaign.</x:v>
      </x:c>
      <x:c r="U17" s="43" t="str">
        <x:v>owner_and_domain_review</x:v>
      </x:c>
      <x:c r="V17" s="50"/>
      <x:c r="W17" s="50"/>
    </x:row>
    <x:row r="18" ht="330" customHeight="1">
      <x:c r="A18" s="43" t="str">
        <x:v>exc-sp-0029-s5</x:v>
      </x:c>
      <x:c r="B18" s="43" t="str">
        <x:v>sp-0029</x:v>
      </x:c>
      <x:c r="C18" s="43" t="str">
        <x:v>reliability_demonstration — Reliability demonstration</x:v>
      </x:c>
      <x:c r="D18" s="43" t="str">
        <x:v>Fusion, magnetic confinement</x:v>
      </x:c>
      <x:c r="E18" s="43" t="str">
        <x:v>tokamak_research_to_pilot_plant_demonstration / demonstration</x:v>
      </x:c>
      <x:c r="F18" s="43" t="str">
        <x:v>Tokamak research through component and subsystem development, materials qualification, facility build, commissioning, integrated demonstration, and pilot-plant readiness</x:v>
      </x:c>
      <x:c r="G18" s="43" t="str">
        <x:v>S5: Intrinsic error tolerance
0: Errors are catastrophic or irreversible.
2: Errors create material cost, delay, or review burdens, but are usually containable and reversible within the stated scope.
4: Errors are cheap, reversible, and low-externality.</x:v>
      </x:c>
      <x:c r="H18" s="43" t="str">
        <x:v>one_point_difference</x:v>
      </x:c>
      <x:c r="I18" s="52" t="n">
        <x:v>1</x:v>
      </x:c>
      <x:c r="J18" s="43" t="str">
        <x:v>missing_or_incompatible_source_support|scope_pathway_application_or_lifecycle_ambiguity
The reliability target is not frozen, so the load-bearing S5 disagreement cannot be disposed without a scope choice or better evidence.</x:v>
      </x:c>
      <x:c r="K18" s="43" t="str">
        <x:v>Claude Code / claude-opus-5
seed-sp-0029-v1</x:v>
      </x:c>
      <x:c r="L18" s="52" t="n">
        <x:v>1</x:v>
      </x:c>
      <x:c r="M18" s="43" t="str">
        <x:v>medium</x:v>
      </x:c>
      <x:c r="N18" s="43" t="str"/>
      <x:c r="O18" s="43" t="str">
        <x:v>S1: reliability and operating performance are demonstrated by accumulating operating hours and pulses, which the 0 anchor names explicitly as accumulated operating time; analysis of the resulting data is essential but cannot substitute for the operating time itself; S2: establishing statistical confidence in availability and sustained performance takes years of campaign operation, placing the loop at the years-to-decades anchor; S3 cost: attempts are scarce and expensive because each attempt is an operating campaign on a single pilot facility, carrying full facility operating cost, staffing and consumables; S3 throughput: throughput is one machine operated serially, with no parallelism available and campaign length set by the reliability target itself; S4: clock time is dominated by a physical and temporal floor that is definitional - required operating time cannot be compressed by better information, and inter-campaign maintenance and conditioning add further fixed durations; S5: intermediate judgment - individual failed pulses are expected and informative, which keeps this above the catastrophic anchor, but a component failure during sustained operation can remove the only machine from service for a long repair and reset the demonstration clock; scope caveat: frozen V1 scope is sustained or repeated integrated testing for pilot-relevant reliability and excludes initial commissioning and commercial-fleet operations; the reliability target itself is not frozen in the V1 scope, and the coding is sensitive to what availability level counts as demonstrated, so this row is scope-sensitive; this row is routed to fusion domain review; critical_path_role remains not_assessed.</x:v>
      </x:c>
      <x:c r="P18" s="43" t="str">
        <x:v>Codex / gpt-5.6
reasoning_effort=extra_high
independent-sp-0029-v1</x:v>
      </x:c>
      <x:c r="Q18" s="52" t="n">
        <x:v>0</x:v>
      </x:c>
      <x:c r="R18" s="43" t="str">
        <x:v>high</x:v>
      </x:c>
      <x:c r="S18" s="43" t="str"/>
      <x:c r="T18" s="43" t="str">
        <x:v>S1: 0 — progress is established primarily through sustained physical operation and accumulated reliability evidence; S2: 0 — the relevant learn-demonstrate-revise cycle is measured in years; S3 cost: 0 — integrated reliability runs consume scarce facility time, energy, components, and specialist support; S3 throughput: the assembled plant is a unique or very limited system, so attempts are predominantly serial; S4: 0 — required operating time and repair-return cycles dominate elapsed time; S5: 0 — errors or failures can damage unique assets, erase schedule, or create severe safety consequences; scope caveat: pilot-relevant reliability demonstration, not routine commercial-fleet operations.</x:v>
      </x:c>
      <x:c r="U18" s="43" t="str">
        <x:v>owner_and_domain_review</x:v>
      </x:c>
      <x:c r="V18" s="50"/>
      <x:c r="W18" s="50"/>
    </x:row>
    <x:row r="19" ht="330" customHeight="1">
      <x:c r="A19" s="43" t="str">
        <x:v>exc-sp-0030-s1</x:v>
      </x:c>
      <x:c r="B19" s="43" t="str">
        <x:v>sp-0030</x:v>
      </x:c>
      <x:c r="C19" s="43" t="str">
        <x:v>licensing — Licensing</x:v>
      </x:c>
      <x:c r="D19" s="43" t="str">
        <x:v>Fusion, magnetic confinement</x:v>
      </x:c>
      <x:c r="E19" s="43" t="str">
        <x:v>tokamak_research_to_pilot_plant_demonstration / qualification</x:v>
      </x:c>
      <x:c r="F19" s="43" t="str">
        <x:v>Tokamak research through component and subsystem development, materials qualification, facility build, commissioning, integrated demonstration, and pilot-plant readiness</x:v>
      </x:c>
      <x:c r="G19" s="43" t="str">
        <x:v>S1: Information intensity of the scoped stage
0: Progress occurs primarily through physical transformation, biological processes, construction, or accumulated operating time.
2: Stage progress materially combines informational and physical, biological, or operational work; neither clearly dominates under the stated scope.
4: Progress occurs primarily through information processing, analysis, design, inference, communication, or software.</x:v>
      </x:c>
      <x:c r="H19" s="43" t="str">
        <x:v>one_point_difference</x:v>
      </x:c>
      <x:c r="I19" s="52" t="n">
        <x:v>1</x:v>
      </x:c>
      <x:c r="J19" s="43" t="str">
        <x:v>low_confidence_load_bearing_stage|missing_or_incompatible_source_support|scope_pathway_application_or_lifecycle_ambiguity
The licensing row has low confidence and no jurisdiction; the scope changes the informational, timing, throughput, and physical-floor interpretation.</x:v>
      </x:c>
      <x:c r="K19" s="43" t="str">
        <x:v>Claude Code / claude-opus-5
seed-sp-0030-v1</x:v>
      </x:c>
      <x:c r="L19" s="52" t="n">
        <x:v>3</x:v>
      </x:c>
      <x:c r="M19" s="43" t="str">
        <x:v>low</x:v>
      </x:c>
      <x:c r="N19" s="43" t="str"/>
      <x:c r="O19" s="43" t="str">
        <x:v>S1: intermediate judgment - the work product is safety analysis, documentation and regulatory argument, which is information work, but a material part of progress consists of physical demonstrations, inspections and as-built verification that documentation alone cannot supply; S2: intermediate judgment - internal iteration on a safety case runs in weeks, but the binding loop is submit, await review, and respond to requests for additional information, which runs many months to years per cycle; that is slower than the weeks-to-months anchor without being decade-scale; S3 cost: cost and throughput diverge - internal drafts and reviews are inexpensive and can be produced in parallel; S3 throughput: each actual regulatory interaction is costly in scarce expert effort and is strictly serial with a single regulator, so realised throughput is a small number of formal cycles over the project; S4: intermediate judgment - the licensing work carries no construction, growth, curing or healing floor and could in principle be compressed, but it cannot outrun the as-built condition of the plant or the inspection and demonstration evidence it must certify; statutory review periods and hearing schedules are institutional latency and belong to the governance overlay rather than to this physical-flexibility dimension, so they are deliberately not coded here; S5: errors in the safety case are found in review and corrected by resubmission, which is containable and reversible within the scoped stage at material cost in delay and expert effort; the external safety consequence of an unsound licence is real but is a property of the licensed operation rather than of the licensing work; scope caveat: frozen V1 scope is licensing of the pilot-relevant facility and demonstration and excludes grid connection and commercial-fleet licensing; confidence is low because the scope names no jurisdiction and fusion regulatory regimes differ materially, with some jurisdictions regulating fusion under radiation or by-product rules rather than fission licensing; that variation is a country condition and must not be folded into the intrinsic coding, so this row is scope-sensitive and load-bearing; this row is routed to fusion domain review; critical_path_role remains not_assessed.</x:v>
      </x:c>
      <x:c r="P19" s="43" t="str">
        <x:v>Codex / gpt-5.6
reasoning_effort=extra_high
independent-sp-0030-v1</x:v>
      </x:c>
      <x:c r="Q19" s="52" t="n">
        <x:v>4</x:v>
      </x:c>
      <x:c r="R19" s="43" t="str">
        <x:v>medium</x:v>
      </x:c>
      <x:c r="S19" s="43" t="str"/>
      <x:c r="T19" s="43" t="str">
        <x:v>S1: 4 — licensing work is primarily evidence review, analysis, communication, and formal decision-making; S2: 0 — pilot-facility licensing cycles can take years and revisions proceed through formal stages; S3 cost: 0 — full applications and major review iterations are resource-intensive and few; S3 throughput: regulatory review, hearings, and evidence dependencies are strongly serial despite parallel document work; S4: 4 — construction and operation are outside the licensing stage, so no intrinsic physical process floor dominates the review itself; S5: 0 — approval or assurance errors can expose workers, the public, and the environment to severe and potentially irreversible harm; scope caveat: pilot-facility licensing only, not commercial-fleet licensing or grid connection.</x:v>
      </x:c>
      <x:c r="U19" s="43" t="str">
        <x:v>owner_and_domain_review</x:v>
      </x:c>
      <x:c r="V19" s="50"/>
      <x:c r="W19" s="50"/>
    </x:row>
    <x:row r="20" ht="330" customHeight="1">
      <x:c r="A20" s="43" t="str">
        <x:v>exc-sp-0030-s2</x:v>
      </x:c>
      <x:c r="B20" s="43" t="str">
        <x:v>sp-0030</x:v>
      </x:c>
      <x:c r="C20" s="43" t="str">
        <x:v>licensing — Licensing</x:v>
      </x:c>
      <x:c r="D20" s="43" t="str">
        <x:v>Fusion, magnetic confinement</x:v>
      </x:c>
      <x:c r="E20" s="43" t="str">
        <x:v>tokamak_research_to_pilot_plant_demonstration / qualification</x:v>
      </x:c>
      <x:c r="F20" s="43" t="str">
        <x:v>Tokamak research through component and subsystem development, materials qualification, facility build, commissioning, integrated demonstration, and pilot-plant readiness</x:v>
      </x:c>
      <x:c r="G20" s="43" t="str">
        <x:v>S2: Feedback speed
0: Cycles take years to decades.
2: The ordinary learn-test-revise cycle is generally measured in weeks to months, rather than minutes/days or years/decades.
4: Learn-test-revise cycles occur in minutes to days.</x:v>
      </x:c>
      <x:c r="H20" s="43" t="str">
        <x:v>one_point_difference</x:v>
      </x:c>
      <x:c r="I20" s="52" t="n">
        <x:v>1</x:v>
      </x:c>
      <x:c r="J20" s="43" t="str">
        <x:v>low_confidence_load_bearing_stage|missing_or_incompatible_source_support|scope_pathway_application_or_lifecycle_ambiguity
The licensing row has low confidence and no jurisdiction; the scope changes the informational, timing, throughput, and physical-floor interpretation.</x:v>
      </x:c>
      <x:c r="K20" s="43" t="str">
        <x:v>Claude Code / claude-opus-5
seed-sp-0030-v1</x:v>
      </x:c>
      <x:c r="L20" s="52" t="n">
        <x:v>1</x:v>
      </x:c>
      <x:c r="M20" s="43" t="str">
        <x:v>low</x:v>
      </x:c>
      <x:c r="N20" s="43" t="str"/>
      <x:c r="O20" s="43" t="str">
        <x:v>S1: intermediate judgment - the work product is safety analysis, documentation and regulatory argument, which is information work, but a material part of progress consists of physical demonstrations, inspections and as-built verification that documentation alone cannot supply; S2: intermediate judgment - internal iteration on a safety case runs in weeks, but the binding loop is submit, await review, and respond to requests for additional information, which runs many months to years per cycle; that is slower than the weeks-to-months anchor without being decade-scale; S3 cost: cost and throughput diverge - internal drafts and reviews are inexpensive and can be produced in parallel; S3 throughput: each actual regulatory interaction is costly in scarce expert effort and is strictly serial with a single regulator, so realised throughput is a small number of formal cycles over the project; S4: intermediate judgment - the licensing work carries no construction, growth, curing or healing floor and could in principle be compressed, but it cannot outrun the as-built condition of the plant or the inspection and demonstration evidence it must certify; statutory review periods and hearing schedules are institutional latency and belong to the governance overlay rather than to this physical-flexibility dimension, so they are deliberately not coded here; S5: errors in the safety case are found in review and corrected by resubmission, which is containable and reversible within the scoped stage at material cost in delay and expert effort; the external safety consequence of an unsound licence is real but is a property of the licensed operation rather than of the licensing work; scope caveat: frozen V1 scope is licensing of the pilot-relevant facility and demonstration and excludes grid connection and commercial-fleet licensing; confidence is low because the scope names no jurisdiction and fusion regulatory regimes differ materially, with some jurisdictions regulating fusion under radiation or by-product rules rather than fission licensing; that variation is a country condition and must not be folded into the intrinsic coding, so this row is scope-sensitive and load-bearing; this row is routed to fusion domain review; critical_path_role remains not_assessed.</x:v>
      </x:c>
      <x:c r="P20" s="43" t="str">
        <x:v>Codex / gpt-5.6
reasoning_effort=extra_high
independent-sp-0030-v1</x:v>
      </x:c>
      <x:c r="Q20" s="52" t="n">
        <x:v>0</x:v>
      </x:c>
      <x:c r="R20" s="43" t="str">
        <x:v>medium</x:v>
      </x:c>
      <x:c r="S20" s="43" t="str"/>
      <x:c r="T20" s="43" t="str">
        <x:v>S1: 4 — licensing work is primarily evidence review, analysis, communication, and formal decision-making; S2: 0 — pilot-facility licensing cycles can take years and revisions proceed through formal stages; S3 cost: 0 — full applications and major review iterations are resource-intensive and few; S3 throughput: regulatory review, hearings, and evidence dependencies are strongly serial despite parallel document work; S4: 4 — construction and operation are outside the licensing stage, so no intrinsic physical process floor dominates the review itself; S5: 0 — approval or assurance errors can expose workers, the public, and the environment to severe and potentially irreversible harm; scope caveat: pilot-facility licensing only, not commercial-fleet licensing or grid connection.</x:v>
      </x:c>
      <x:c r="U20" s="43" t="str">
        <x:v>owner_and_domain_review</x:v>
      </x:c>
      <x:c r="V20" s="50"/>
      <x:c r="W20" s="50"/>
    </x:row>
    <x:row r="21" ht="330" customHeight="1">
      <x:c r="A21" s="43" t="str">
        <x:v>exc-sp-0030-s3</x:v>
      </x:c>
      <x:c r="B21" s="43" t="str">
        <x:v>sp-0030</x:v>
      </x:c>
      <x:c r="C21" s="43" t="str">
        <x:v>licensing — Licensing</x:v>
      </x:c>
      <x:c r="D21" s="43" t="str">
        <x:v>Fusion, magnetic confinement</x:v>
      </x:c>
      <x:c r="E21" s="43" t="str">
        <x:v>tokamak_research_to_pilot_plant_demonstration / qualification</x:v>
      </x:c>
      <x:c r="F21" s="43" t="str">
        <x:v>Tokamak research through component and subsystem development, materials qualification, facility build, commissioning, integrated demonstration, and pilot-plant readiness</x:v>
      </x:c>
      <x:c r="G21" s="43" t="str">
        <x:v>S3: Experiment affordability and throughput
0: Attempts are scarce and expensive.
2: Attempts require meaningful resources or scarce systems but remain repeatable; throughput or parallelism is material but constrained.
4: Attempts are near-free and parallel.</x:v>
      </x:c>
      <x:c r="H21" s="43" t="str">
        <x:v>one_point_difference</x:v>
      </x:c>
      <x:c r="I21" s="52" t="n">
        <x:v>1</x:v>
      </x:c>
      <x:c r="J21" s="43" t="str">
        <x:v>low_confidence_load_bearing_stage|missing_or_incompatible_source_support|scope_pathway_application_or_lifecycle_ambiguity
The licensing row has low confidence and no jurisdiction; the scope changes the informational, timing, throughput, and physical-floor interpretation.</x:v>
      </x:c>
      <x:c r="K21" s="43" t="str">
        <x:v>Claude Code / claude-opus-5
seed-sp-0030-v1</x:v>
      </x:c>
      <x:c r="L21" s="52" t="n">
        <x:v>1</x:v>
      </x:c>
      <x:c r="M21" s="43" t="str">
        <x:v>low</x:v>
      </x:c>
      <x:c r="N21" s="43" t="str"/>
      <x:c r="O21" s="43" t="str">
        <x:v>S1: intermediate judgment - the work product is safety analysis, documentation and regulatory argument, which is information work, but a material part of progress consists of physical demonstrations, inspections and as-built verification that documentation alone cannot supply; S2: intermediate judgment - internal iteration on a safety case runs in weeks, but the binding loop is submit, await review, and respond to requests for additional information, which runs many months to years per cycle; that is slower than the weeks-to-months anchor without being decade-scale; S3 cost: cost and throughput diverge - internal drafts and reviews are inexpensive and can be produced in parallel; S3 throughput: each actual regulatory interaction is costly in scarce expert effort and is strictly serial with a single regulator, so realised throughput is a small number of formal cycles over the project; S4: intermediate judgment - the licensing work carries no construction, growth, curing or healing floor and could in principle be compressed, but it cannot outrun the as-built condition of the plant or the inspection and demonstration evidence it must certify; statutory review periods and hearing schedules are institutional latency and belong to the governance overlay rather than to this physical-flexibility dimension, so they are deliberately not coded here; S5: errors in the safety case are found in review and corrected by resubmission, which is containable and reversible within the scoped stage at material cost in delay and expert effort; the external safety consequence of an unsound licence is real but is a property of the licensed operation rather than of the licensing work; scope caveat: frozen V1 scope is licensing of the pilot-relevant facility and demonstration and excludes grid connection and commercial-fleet licensing; confidence is low because the scope names no jurisdiction and fusion regulatory regimes differ materially, with some jurisdictions regulating fusion under radiation or by-product rules rather than fission licensing; that variation is a country condition and must not be folded into the intrinsic coding, so this row is scope-sensitive and load-bearing; this row is routed to fusion domain review; critical_path_role remains not_assessed.</x:v>
      </x:c>
      <x:c r="P21" s="43" t="str">
        <x:v>Codex / gpt-5.6
reasoning_effort=extra_high
independent-sp-0030-v1</x:v>
      </x:c>
      <x:c r="Q21" s="52" t="n">
        <x:v>0</x:v>
      </x:c>
      <x:c r="R21" s="43" t="str">
        <x:v>medium</x:v>
      </x:c>
      <x:c r="S21" s="43" t="str"/>
      <x:c r="T21" s="43" t="str">
        <x:v>S1: 4 — licensing work is primarily evidence review, analysis, communication, and formal decision-making; S2: 0 — pilot-facility licensing cycles can take years and revisions proceed through formal stages; S3 cost: 0 — full applications and major review iterations are resource-intensive and few; S3 throughput: regulatory review, hearings, and evidence dependencies are strongly serial despite parallel document work; S4: 4 — construction and operation are outside the licensing stage, so no intrinsic physical process floor dominates the review itself; S5: 0 — approval or assurance errors can expose workers, the public, and the environment to severe and potentially irreversible harm; scope caveat: pilot-facility licensing only, not commercial-fleet licensing or grid connection.</x:v>
      </x:c>
      <x:c r="U21" s="43" t="str">
        <x:v>owner_and_domain_review</x:v>
      </x:c>
      <x:c r="V21" s="50"/>
      <x:c r="W21" s="50"/>
    </x:row>
    <x:row r="22" ht="330" customHeight="1">
      <x:c r="A22" s="43" t="str">
        <x:v>exc-sp-0030-s4</x:v>
      </x:c>
      <x:c r="B22" s="43" t="str">
        <x:v>sp-0030</x:v>
      </x:c>
      <x:c r="C22" s="43" t="str">
        <x:v>licensing — Licensing</x:v>
      </x:c>
      <x:c r="D22" s="43" t="str">
        <x:v>Fusion, magnetic confinement</x:v>
      </x:c>
      <x:c r="E22" s="43" t="str">
        <x:v>tokamak_research_to_pilot_plant_demonstration / qualification</x:v>
      </x:c>
      <x:c r="F22" s="43" t="str">
        <x:v>Tokamak research through component and subsystem development, materials qualification, facility build, commissioning, integrated demonstration, and pilot-plant readiness</x:v>
      </x:c>
      <x:c r="G22" s="43" t="str">
        <x:v>S4: Physical flexibility
0: Clock time is dominated by physical floors.
2: Physical processes create meaningful delay, but no single physical, biological, construction, curing, healing, or qualification floor dominates the entire scoped stage.
4: No construction, growth, curing, healing, or qualification floor dominates elapsed time.</x:v>
      </x:c>
      <x:c r="H22" s="43" t="str">
        <x:v>one_point_difference</x:v>
      </x:c>
      <x:c r="I22" s="52" t="n">
        <x:v>1</x:v>
      </x:c>
      <x:c r="J22" s="43" t="str">
        <x:v>low_confidence_load_bearing_stage|missing_or_incompatible_source_support|scope_pathway_application_or_lifecycle_ambiguity
The licensing row has low confidence and no jurisdiction; the scope changes the informational, timing, throughput, and physical-floor interpretation.</x:v>
      </x:c>
      <x:c r="K22" s="43" t="str">
        <x:v>Claude Code / claude-opus-5
seed-sp-0030-v1</x:v>
      </x:c>
      <x:c r="L22" s="52" t="n">
        <x:v>3</x:v>
      </x:c>
      <x:c r="M22" s="43" t="str">
        <x:v>low</x:v>
      </x:c>
      <x:c r="N22" s="43" t="str"/>
      <x:c r="O22" s="43" t="str">
        <x:v>S1: intermediate judgment - the work product is safety analysis, documentation and regulatory argument, which is information work, but a material part of progress consists of physical demonstrations, inspections and as-built verification that documentation alone cannot supply; S2: intermediate judgment - internal iteration on a safety case runs in weeks, but the binding loop is submit, await review, and respond to requests for additional information, which runs many months to years per cycle; that is slower than the weeks-to-months anchor without being decade-scale; S3 cost: cost and throughput diverge - internal drafts and reviews are inexpensive and can be produced in parallel; S3 throughput: each actual regulatory interaction is costly in scarce expert effort and is strictly serial with a single regulator, so realised throughput is a small number of formal cycles over the project; S4: intermediate judgment - the licensing work carries no construction, growth, curing or healing floor and could in principle be compressed, but it cannot outrun the as-built condition of the plant or the inspection and demonstration evidence it must certify; statutory review periods and hearing schedules are institutional latency and belong to the governance overlay rather than to this physical-flexibility dimension, so they are deliberately not coded here; S5: errors in the safety case are found in review and corrected by resubmission, which is containable and reversible within the scoped stage at material cost in delay and expert effort; the external safety consequence of an unsound licence is real but is a property of the licensed operation rather than of the licensing work; scope caveat: frozen V1 scope is licensing of the pilot-relevant facility and demonstration and excludes grid connection and commercial-fleet licensing; confidence is low because the scope names no jurisdiction and fusion regulatory regimes differ materially, with some jurisdictions regulating fusion under radiation or by-product rules rather than fission licensing; that variation is a country condition and must not be folded into the intrinsic coding, so this row is scope-sensitive and load-bearing; this row is routed to fusion domain review; critical_path_role remains not_assessed.</x:v>
      </x:c>
      <x:c r="P22" s="43" t="str">
        <x:v>Codex / gpt-5.6
reasoning_effort=extra_high
independent-sp-0030-v1</x:v>
      </x:c>
      <x:c r="Q22" s="52" t="n">
        <x:v>4</x:v>
      </x:c>
      <x:c r="R22" s="43" t="str">
        <x:v>medium</x:v>
      </x:c>
      <x:c r="S22" s="43" t="str"/>
      <x:c r="T22" s="43" t="str">
        <x:v>S1: 4 — licensing work is primarily evidence review, analysis, communication, and formal decision-making; S2: 0 — pilot-facility licensing cycles can take years and revisions proceed through formal stages; S3 cost: 0 — full applications and major review iterations are resource-intensive and few; S3 throughput: regulatory review, hearings, and evidence dependencies are strongly serial despite parallel document work; S4: 4 — construction and operation are outside the licensing stage, so no intrinsic physical process floor dominates the review itself; S5: 0 — approval or assurance errors can expose workers, the public, and the environment to severe and potentially irreversible harm; scope caveat: pilot-facility licensing only, not commercial-fleet licensing or grid connection.</x:v>
      </x:c>
      <x:c r="U22" s="43" t="str">
        <x:v>owner_and_domain_review</x:v>
      </x:c>
      <x:c r="V22" s="50"/>
      <x:c r="W22" s="50"/>
    </x:row>
    <x:row r="23" ht="330" customHeight="1">
      <x:c r="A23" s="43" t="str">
        <x:v>exc-sp-0030-s5</x:v>
      </x:c>
      <x:c r="B23" s="43" t="str">
        <x:v>sp-0030</x:v>
      </x:c>
      <x:c r="C23" s="43" t="str">
        <x:v>licensing — Licensing</x:v>
      </x:c>
      <x:c r="D23" s="43" t="str">
        <x:v>Fusion, magnetic confinement</x:v>
      </x:c>
      <x:c r="E23" s="43" t="str">
        <x:v>tokamak_research_to_pilot_plant_demonstration / qualification</x:v>
      </x:c>
      <x:c r="F23" s="43" t="str">
        <x:v>Tokamak research through component and subsystem development, materials qualification, facility build, commissioning, integrated demonstration, and pilot-plant readiness</x:v>
      </x:c>
      <x:c r="G23" s="43" t="str">
        <x:v>S5: Intrinsic error tolerance
0: Errors are catastrophic or irreversible.
2: Errors create material cost, delay, or review burdens, but are usually containable and reversible within the stated scope.
4: Errors are cheap, reversible, and low-externality.</x:v>
      </x:c>
      <x:c r="H23" s="43" t="str">
        <x:v>difference_ge_2</x:v>
      </x:c>
      <x:c r="I23" s="52" t="n">
        <x:v>2</x:v>
      </x:c>
      <x:c r="J23" s="43" t="str">
        <x:v>absolute_difference_ge_2|contradictory_rationales|low_confidence_load_bearing_stage|missing_or_incompatible_source_support|scope_pathway_application_or_lifecycle_ambiguity
Two-point S5 dispute combines boundary allocation, low confidence, blank evidence, and an unspecified licensing jurisdiction.</x:v>
      </x:c>
      <x:c r="K23" s="43" t="str">
        <x:v>Claude Code / claude-opus-5
seed-sp-0030-v1</x:v>
      </x:c>
      <x:c r="L23" s="52" t="n">
        <x:v>2</x:v>
      </x:c>
      <x:c r="M23" s="43" t="str">
        <x:v>low</x:v>
      </x:c>
      <x:c r="N23" s="43" t="str"/>
      <x:c r="O23" s="43" t="str">
        <x:v>S1: intermediate judgment - the work product is safety analysis, documentation and regulatory argument, which is information work, but a material part of progress consists of physical demonstrations, inspections and as-built verification that documentation alone cannot supply; S2: intermediate judgment - internal iteration on a safety case runs in weeks, but the binding loop is submit, await review, and respond to requests for additional information, which runs many months to years per cycle; that is slower than the weeks-to-months anchor without being decade-scale; S3 cost: cost and throughput diverge - internal drafts and reviews are inexpensive and can be produced in parallel; S3 throughput: each actual regulatory interaction is costly in scarce expert effort and is strictly serial with a single regulator, so realised throughput is a small number of formal cycles over the project; S4: intermediate judgment - the licensing work carries no construction, growth, curing or healing floor and could in principle be compressed, but it cannot outrun the as-built condition of the plant or the inspection and demonstration evidence it must certify; statutory review periods and hearing schedules are institutional latency and belong to the governance overlay rather than to this physical-flexibility dimension, so they are deliberately not coded here; S5: errors in the safety case are found in review and corrected by resubmission, which is containable and reversible within the scoped stage at material cost in delay and expert effort; the external safety consequence of an unsound licence is real but is a property of the licensed operation rather than of the licensing work; scope caveat: frozen V1 scope is licensing of the pilot-relevant facility and demonstration and excludes grid connection and commercial-fleet licensing; confidence is low because the scope names no jurisdiction and fusion regulatory regimes differ materially, with some jurisdictions regulating fusion under radiation or by-product rules rather than fission licensing; that variation is a country condition and must not be folded into the intrinsic coding, so this row is scope-sensitive and load-bearing; this row is routed to fusion domain review; critical_path_role remains not_assessed.</x:v>
      </x:c>
      <x:c r="P23" s="43" t="str">
        <x:v>Codex / gpt-5.6
reasoning_effort=extra_high
independent-sp-0030-v1</x:v>
      </x:c>
      <x:c r="Q23" s="52" t="n">
        <x:v>0</x:v>
      </x:c>
      <x:c r="R23" s="43" t="str">
        <x:v>medium</x:v>
      </x:c>
      <x:c r="S23" s="43" t="str"/>
      <x:c r="T23" s="43" t="str">
        <x:v>S1: 4 — licensing work is primarily evidence review, analysis, communication, and formal decision-making; S2: 0 — pilot-facility licensing cycles can take years and revisions proceed through formal stages; S3 cost: 0 — full applications and major review iterations are resource-intensive and few; S3 throughput: regulatory review, hearings, and evidence dependencies are strongly serial despite parallel document work; S4: 4 — construction and operation are outside the licensing stage, so no intrinsic physical process floor dominates the review itself; S5: 0 — approval or assurance errors can expose workers, the public, and the environment to severe and potentially irreversible harm; scope caveat: pilot-facility licensing only, not commercial-fleet licensing or grid connection.</x:v>
      </x:c>
      <x:c r="U23" s="43" t="str">
        <x:v>owner_and_domain_review</x:v>
      </x:c>
      <x:c r="V23" s="50"/>
      <x:c r="W23" s="50"/>
    </x:row>
    <x:row r="24" ht="330" customHeight="1">
      <x:c r="A24" s="43" t="str">
        <x:v>exc-sp-0031-s3</x:v>
      </x:c>
      <x:c r="B24" s="43" t="str">
        <x:v>sp-0031</x:v>
      </x:c>
      <x:c r="C24" s="43" t="str">
        <x:v>grid_integration — Grid integration</x:v>
      </x:c>
      <x:c r="D24" s="43" t="str">
        <x:v>Fusion, magnetic confinement</x:v>
      </x:c>
      <x:c r="E24" s="43" t="str">
        <x:v>tokamak_research_to_pilot_plant_demonstration / demonstration</x:v>
      </x:c>
      <x:c r="F24" s="43" t="str">
        <x:v>Tokamak research through component and subsystem development, materials qualification, facility build, commissioning, integrated demonstration, and pilot-plant readiness</x:v>
      </x:c>
      <x:c r="G24" s="43" t="str">
        <x:v>S3: Experiment affordability and throughput
0: Attempts are scarce and expensive.
2: Attempts require meaningful resources or scarce systems but remain repeatable; throughput or parallelism is material but constrained.
4: Attempts are near-free and parallel.</x:v>
      </x:c>
      <x:c r="H24" s="43" t="str">
        <x:v>one_point_difference</x:v>
      </x:c>
      <x:c r="I24" s="52" t="n">
        <x:v>1</x:v>
      </x:c>
      <x:c r="J24" s="43" t="str">
        <x:v>low_confidence_load_bearing_stage|missing_or_incompatible_source_support|scope_pathway_application_or_lifecycle_ambiguity
Both coders report low confidence for an unprecedented, jurisdiction-sensitive pilot connection; blank evidence materially affects the three disputed dimensions.</x:v>
      </x:c>
      <x:c r="K24" s="43" t="str">
        <x:v>Claude Code / claude-opus-5
seed-sp-0031-v1</x:v>
      </x:c>
      <x:c r="L24" s="52" t="n">
        <x:v>1</x:v>
      </x:c>
      <x:c r="M24" s="43" t="str">
        <x:v>low</x:v>
      </x:c>
      <x:c r="N24" s="43" t="str"/>
      <x:c r="O24" s="43" t="str">
        <x:v>S1: interconnection studies, protection coordination and network modelling are informational, while physical connection assets and utility-side works are not; both are material within the scoped stage and neither dominates; S2: intermediate judgment - technical study iterations run in months, but the binding loop of interconnection study cycles followed by utility construction of connection assets runs from many months to years, which is slower than the weeks-to-months anchor without being decade-scale intrinsically; S3 cost: cost and throughput diverge - study iterations and protection-setting revisions are inexpensive and can be run in parallel; S3 throughput: the connection itself is a single, serially scheduled event with the network operator, so decision-relevant throughput is effectively one attempt; S4: intermediate judgment - much of the scoped work is study and coordination with no physical floor of its own, but energisation cannot precede construction and commissioning of physical connection assets such as switchyard and transmission works, which imposes a construction-scale minimum duration; S5: intermediate judgment - errors found in study are cheap to correct, but errors that reach energisation can trip or disturb a shared network with consequences for third parties and for the connection agreement, which is materially worse than containable while not being catastrophic; scope caveat: frozen V1 scope is connection and technical integration for pilot demonstration and excludes commercial-fleet rollout and market diffusion; confidence is low because a fusion pilot's connection scope is unprecedented and because interconnection queue duration and procedure are strongly jurisdiction- and network-specific; those conditions are country-stage modifiers and are deliberately not folded into this intrinsic coding, so this row is scope-sensitive; this row is routed to fusion domain review; critical_path_role remains not_assessed.</x:v>
      </x:c>
      <x:c r="P24" s="43" t="str">
        <x:v>Codex / gpt-5.6
reasoning_effort=extra_high
independent-sp-0031-v1</x:v>
      </x:c>
      <x:c r="Q24" s="52" t="n">
        <x:v>0</x:v>
      </x:c>
      <x:c r="R24" s="43" t="str">
        <x:v>low</x:v>
      </x:c>
      <x:c r="S24" s="43" t="str"/>
      <x:c r="T24" s="43" t="str">
        <x:v>S1: 2 — grid integration combines studies, protection and control design, coordination, physical connection, and technical testing; S2: 1 — Intermediate judgment: interconnection, equipment, and test cycles commonly take months to years rather than weeks or decades; S3 cost: 0 — connection changes and energized integrated tests require high-value equipment, grid access, and coordinated specialist work; S3 throughput: approvals, outages, and the single physical connection make decisive attempts scarce and serial; S4: 0 — equipment delivery, installation, outage windows, and physical connection floors dominate elapsed time; S5: 0 — protection or integration errors can damage equipment or compromise grid and facility safety; scope caveat: pilot demonstration connection only, not broader market diffusion or commercial-fleet rollout.</x:v>
      </x:c>
      <x:c r="U24" s="43" t="str">
        <x:v>owner_and_domain_review</x:v>
      </x:c>
      <x:c r="V24" s="50"/>
      <x:c r="W24" s="50"/>
    </x:row>
    <x:row r="25" ht="330" customHeight="1">
      <x:c r="A25" s="43" t="str">
        <x:v>exc-sp-0031-s4</x:v>
      </x:c>
      <x:c r="B25" s="43" t="str">
        <x:v>sp-0031</x:v>
      </x:c>
      <x:c r="C25" s="43" t="str">
        <x:v>grid_integration — Grid integration</x:v>
      </x:c>
      <x:c r="D25" s="43" t="str">
        <x:v>Fusion, magnetic confinement</x:v>
      </x:c>
      <x:c r="E25" s="43" t="str">
        <x:v>tokamak_research_to_pilot_plant_demonstration / demonstration</x:v>
      </x:c>
      <x:c r="F25" s="43" t="str">
        <x:v>Tokamak research through component and subsystem development, materials qualification, facility build, commissioning, integrated demonstration, and pilot-plant readiness</x:v>
      </x:c>
      <x:c r="G25" s="43" t="str">
        <x:v>S4: Physical flexibility
0: Clock time is dominated by physical floors.
2: Physical processes create meaningful delay, but no single physical, biological, construction, curing, healing, or qualification floor dominates the entire scoped stage.
4: No construction, growth, curing, healing, or qualification floor dominates elapsed time.</x:v>
      </x:c>
      <x:c r="H25" s="43" t="str">
        <x:v>one_point_difference</x:v>
      </x:c>
      <x:c r="I25" s="52" t="n">
        <x:v>1</x:v>
      </x:c>
      <x:c r="J25" s="43" t="str">
        <x:v>low_confidence_load_bearing_stage|missing_or_incompatible_source_support|scope_pathway_application_or_lifecycle_ambiguity
Both coders report low confidence for an unprecedented, jurisdiction-sensitive pilot connection; blank evidence materially affects the three disputed dimensions.</x:v>
      </x:c>
      <x:c r="K25" s="43" t="str">
        <x:v>Claude Code / claude-opus-5
seed-sp-0031-v1</x:v>
      </x:c>
      <x:c r="L25" s="52" t="n">
        <x:v>1</x:v>
      </x:c>
      <x:c r="M25" s="43" t="str">
        <x:v>low</x:v>
      </x:c>
      <x:c r="N25" s="43" t="str"/>
      <x:c r="O25" s="43" t="str">
        <x:v>S1: interconnection studies, protection coordination and network modelling are informational, while physical connection assets and utility-side works are not; both are material within the scoped stage and neither dominates; S2: intermediate judgment - technical study iterations run in months, but the binding loop of interconnection study cycles followed by utility construction of connection assets runs from many months to years, which is slower than the weeks-to-months anchor without being decade-scale intrinsically; S3 cost: cost and throughput diverge - study iterations and protection-setting revisions are inexpensive and can be run in parallel; S3 throughput: the connection itself is a single, serially scheduled event with the network operator, so decision-relevant throughput is effectively one attempt; S4: intermediate judgment - much of the scoped work is study and coordination with no physical floor of its own, but energisation cannot precede construction and commissioning of physical connection assets such as switchyard and transmission works, which imposes a construction-scale minimum duration; S5: intermediate judgment - errors found in study are cheap to correct, but errors that reach energisation can trip or disturb a shared network with consequences for third parties and for the connection agreement, which is materially worse than containable while not being catastrophic; scope caveat: frozen V1 scope is connection and technical integration for pilot demonstration and excludes commercial-fleet rollout and market diffusion; confidence is low because a fusion pilot's connection scope is unprecedented and because interconnection queue duration and procedure are strongly jurisdiction- and network-specific; those conditions are country-stage modifiers and are deliberately not folded into this intrinsic coding, so this row is scope-sensitive; this row is routed to fusion domain review; critical_path_role remains not_assessed.</x:v>
      </x:c>
      <x:c r="P25" s="43" t="str">
        <x:v>Codex / gpt-5.6
reasoning_effort=extra_high
independent-sp-0031-v1</x:v>
      </x:c>
      <x:c r="Q25" s="52" t="n">
        <x:v>0</x:v>
      </x:c>
      <x:c r="R25" s="43" t="str">
        <x:v>low</x:v>
      </x:c>
      <x:c r="S25" s="43" t="str"/>
      <x:c r="T25" s="43" t="str">
        <x:v>S1: 2 — grid integration combines studies, protection and control design, coordination, physical connection, and technical testing; S2: 1 — Intermediate judgment: interconnection, equipment, and test cycles commonly take months to years rather than weeks or decades; S3 cost: 0 — connection changes and energized integrated tests require high-value equipment, grid access, and coordinated specialist work; S3 throughput: approvals, outages, and the single physical connection make decisive attempts scarce and serial; S4: 0 — equipment delivery, installation, outage windows, and physical connection floors dominate elapsed time; S5: 0 — protection or integration errors can damage equipment or compromise grid and facility safety; scope caveat: pilot demonstration connection only, not broader market diffusion or commercial-fleet rollout.</x:v>
      </x:c>
      <x:c r="U25" s="43" t="str">
        <x:v>owner_and_domain_review</x:v>
      </x:c>
      <x:c r="V25" s="50"/>
      <x:c r="W25" s="50"/>
    </x:row>
    <x:row r="26" ht="330" customHeight="1">
      <x:c r="A26" s="43" t="str">
        <x:v>exc-sp-0031-s5</x:v>
      </x:c>
      <x:c r="B26" s="43" t="str">
        <x:v>sp-0031</x:v>
      </x:c>
      <x:c r="C26" s="43" t="str">
        <x:v>grid_integration — Grid integration</x:v>
      </x:c>
      <x:c r="D26" s="43" t="str">
        <x:v>Fusion, magnetic confinement</x:v>
      </x:c>
      <x:c r="E26" s="43" t="str">
        <x:v>tokamak_research_to_pilot_plant_demonstration / demonstration</x:v>
      </x:c>
      <x:c r="F26" s="43" t="str">
        <x:v>Tokamak research through component and subsystem development, materials qualification, facility build, commissioning, integrated demonstration, and pilot-plant readiness</x:v>
      </x:c>
      <x:c r="G26" s="43" t="str">
        <x:v>S5: Intrinsic error tolerance
0: Errors are catastrophic or irreversible.
2: Errors create material cost, delay, or review burdens, but are usually containable and reversible within the stated scope.
4: Errors are cheap, reversible, and low-externality.</x:v>
      </x:c>
      <x:c r="H26" s="43" t="str">
        <x:v>one_point_difference</x:v>
      </x:c>
      <x:c r="I26" s="52" t="n">
        <x:v>1</x:v>
      </x:c>
      <x:c r="J26" s="43" t="str">
        <x:v>low_confidence_load_bearing_stage|missing_or_incompatible_source_support|scope_pathway_application_or_lifecycle_ambiguity
Both coders report low confidence for an unprecedented, jurisdiction-sensitive pilot connection; blank evidence materially affects the three disputed dimensions.</x:v>
      </x:c>
      <x:c r="K26" s="43" t="str">
        <x:v>Claude Code / claude-opus-5
seed-sp-0031-v1</x:v>
      </x:c>
      <x:c r="L26" s="52" t="n">
        <x:v>1</x:v>
      </x:c>
      <x:c r="M26" s="43" t="str">
        <x:v>low</x:v>
      </x:c>
      <x:c r="N26" s="43" t="str"/>
      <x:c r="O26" s="43" t="str">
        <x:v>S1: interconnection studies, protection coordination and network modelling are informational, while physical connection assets and utility-side works are not; both are material within the scoped stage and neither dominates; S2: intermediate judgment - technical study iterations run in months, but the binding loop of interconnection study cycles followed by utility construction of connection assets runs from many months to years, which is slower than the weeks-to-months anchor without being decade-scale intrinsically; S3 cost: cost and throughput diverge - study iterations and protection-setting revisions are inexpensive and can be run in parallel; S3 throughput: the connection itself is a single, serially scheduled event with the network operator, so decision-relevant throughput is effectively one attempt; S4: intermediate judgment - much of the scoped work is study and coordination with no physical floor of its own, but energisation cannot precede construction and commissioning of physical connection assets such as switchyard and transmission works, which imposes a construction-scale minimum duration; S5: intermediate judgment - errors found in study are cheap to correct, but errors that reach energisation can trip or disturb a shared network with consequences for third parties and for the connection agreement, which is materially worse than containable while not being catastrophic; scope caveat: frozen V1 scope is connection and technical integration for pilot demonstration and excludes commercial-fleet rollout and market diffusion; confidence is low because a fusion pilot's connection scope is unprecedented and because interconnection queue duration and procedure are strongly jurisdiction- and network-specific; those conditions are country-stage modifiers and are deliberately not folded into this intrinsic coding, so this row is scope-sensitive; this row is routed to fusion domain review; critical_path_role remains not_assessed.</x:v>
      </x:c>
      <x:c r="P26" s="43" t="str">
        <x:v>Codex / gpt-5.6
reasoning_effort=extra_high
independent-sp-0031-v1</x:v>
      </x:c>
      <x:c r="Q26" s="52" t="n">
        <x:v>0</x:v>
      </x:c>
      <x:c r="R26" s="43" t="str">
        <x:v>low</x:v>
      </x:c>
      <x:c r="S26" s="43" t="str"/>
      <x:c r="T26" s="43" t="str">
        <x:v>S1: 2 — grid integration combines studies, protection and control design, coordination, physical connection, and technical testing; S2: 1 — Intermediate judgment: interconnection, equipment, and test cycles commonly take months to years rather than weeks or decades; S3 cost: 0 — connection changes and energized integrated tests require high-value equipment, grid access, and coordinated specialist work; S3 throughput: approvals, outages, and the single physical connection make decisive attempts scarce and serial; S4: 0 — equipment delivery, installation, outage windows, and physical connection floors dominate elapsed time; S5: 0 — protection or integration errors can damage equipment or compromise grid and facility safety; scope caveat: pilot demonstration connection only, not broader market diffusion or commercial-fleet rollout.</x:v>
      </x:c>
      <x:c r="U26" s="43" t="str">
        <x:v>owner_and_domain_review</x:v>
      </x:c>
      <x:c r="V26" s="50"/>
      <x:c r="W26" s="50"/>
    </x:row>
  </x:sheetData>
  <x:mergeCells>
    <x:mergeCell ref="A1:W1"/>
    <x:mergeCell ref="A2:W2"/>
  </x:mergeCells>
  <x:dataValidations count="1">
    <x:dataValidation type="list" sqref="V4:V26">
      <x:formula1>"prefer_seed,prefer_independent,preserve_disagreement,needs_domain_review,needs_better_evidence"</x:formula1>
    </x:dataValidation>
  </x:dataValidations>
  <x:pageMargins left="0.7" right="0.7" top="0.75" bottom="0.75" header="0.3" footer="0.3"/>
  <x:tableParts count="1">
    <x:tablePart xmlns:r="http://schemas.openxmlformats.org/officeDocument/2006/relationships" r:id="R38abb9dbf979409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32" hidden="0" customWidth="1"/>
    <x:col min="3" max="3" width="25" hidden="0" customWidth="1"/>
    <x:col min="4" max="4" width="12" hidden="0" customWidth="1"/>
    <x:col min="5" max="5" width="18" hidden="0" customWidth="1"/>
    <x:col min="6" max="6" width="12" hidden="0" customWidth="1"/>
    <x:col min="7" max="7" width="86" hidden="0" customWidth="1"/>
    <x:col min="8" max="8" width="86" hidden="0" customWidth="1"/>
    <x:col min="9" max="9" width="25" hidden="0" customWidth="1"/>
    <x:col min="10" max="10" width="20" hidden="0" customWidth="1"/>
  </x:cols>
  <x:sheetData>
    <x:row r="1" ht="34" customHeight="1">
      <x:c r="A1" s="3" t="str">
        <x:v>Cross-cutting S5 boundary-allocation question</x:v>
      </x:c>
      <x:c r="B1" s="3" t="str">
        <x:v>Cross-cutting S5 boundary-allocation question</x:v>
      </x:c>
      <x:c r="C1" s="3" t="str">
        <x:v>Cross-cutting S5 boundary-allocation question</x:v>
      </x:c>
      <x:c r="D1" s="3" t="str">
        <x:v>Cross-cutting S5 boundary-allocation question</x:v>
      </x:c>
      <x:c r="E1" s="3" t="str">
        <x:v>Cross-cutting S5 boundary-allocation question</x:v>
      </x:c>
      <x:c r="F1" s="3" t="str">
        <x:v>Cross-cutting S5 boundary-allocation question</x:v>
      </x:c>
      <x:c r="G1" s="3" t="str">
        <x:v>Cross-cutting S5 boundary-allocation question</x:v>
      </x:c>
      <x:c r="H1" s="3" t="str">
        <x:v>Cross-cutting S5 boundary-allocation question</x:v>
      </x:c>
      <x:c r="I1" s="3" t="str">
        <x:v>Cross-cutting S5 boundary-allocation question</x:v>
      </x:c>
      <x:c r="J1" s="3" t="str">
        <x:v>Cross-cutting S5 boundary-allocation question</x:v>
      </x:c>
    </x:row>
    <x:row r="3">
      <x:c r="A3" s="55" t="str">
        <x:v>Should S5 assess (a) locally contained errors only, or (b) the reasonably foreseeable consequences of an erroneous stage output escaping that stage into deployment, operations, qualification, or licensed operation? Reconciliation preserves every original value and applies neither rule silently.</x:v>
      </x:c>
      <x:c r="B3" s="55" t="str">
        <x:v>Should S5 assess (a) locally contained errors only, or (b) the reasonably foreseeable consequences of an erroneous stage output escaping that stage into deployment, operations, qualification, or licensed operation? Reconciliation preserves every original value and applies neither rule silently.</x:v>
      </x:c>
      <x:c r="C3" s="55" t="str">
        <x:v>Should S5 assess (a) locally contained errors only, or (b) the reasonably foreseeable consequences of an erroneous stage output escaping that stage into deployment, operations, qualification, or licensed operation? Reconciliation preserves every original value and applies neither rule silently.</x:v>
      </x:c>
      <x:c r="D3" s="55" t="str">
        <x:v>Should S5 assess (a) locally contained errors only, or (b) the reasonably foreseeable consequences of an erroneous stage output escaping that stage into deployment, operations, qualification, or licensed operation? Reconciliation preserves every original value and applies neither rule silently.</x:v>
      </x:c>
      <x:c r="E3" s="55" t="str">
        <x:v>Should S5 assess (a) locally contained errors only, or (b) the reasonably foreseeable consequences of an erroneous stage output escaping that stage into deployment, operations, qualification, or licensed operation? Reconciliation preserves every original value and applies neither rule silently.</x:v>
      </x:c>
      <x:c r="F3" s="55" t="str">
        <x:v>Should S5 assess (a) locally contained errors only, or (b) the reasonably foreseeable consequences of an erroneous stage output escaping that stage into deployment, operations, qualification, or licensed operation? Reconciliation preserves every original value and applies neither rule silently.</x:v>
      </x:c>
      <x:c r="G3" s="55" t="str">
        <x:v>Should S5 assess (a) locally contained errors only, or (b) the reasonably foreseeable consequences of an erroneous stage output escaping that stage into deployment, operations, qualification, or licensed operation? Reconciliation preserves every original value and applies neither rule silently.</x:v>
      </x:c>
      <x:c r="H3" s="55" t="str">
        <x:v>Should S5 assess (a) locally contained errors only, or (b) the reasonably foreseeable consequences of an erroneous stage output escaping that stage into deployment, operations, qualification, or licensed operation? Reconciliation preserves every original value and applies neither rule silently.</x:v>
      </x:c>
      <x:c r="I3" s="55" t="str">
        <x:v>Should S5 assess (a) locally contained errors only, or (b) the reasonably foreseeable consequences of an erroneous stage output escaping that stage into deployment, operations, qualification, or licensed operation? Reconciliation preserves every original value and applies neither rule silently.</x:v>
      </x:c>
      <x:c r="J3" s="55" t="str">
        <x:v>Should S5 assess (a) locally contained errors only, or (b) the reasonably foreseeable consequences of an erroneous stage output escaping that stage into deployment, operations, qualification, or licensed operation? Reconciliation preserves every original value and applies neither rule silently.</x:v>
      </x:c>
    </x:row>
    <x:row r="4">
      <x:c r="A4" s="55" t="str">
        <x:v>Should S5 assess (a) locally contained errors only, or (b) the reasonably foreseeable consequences of an erroneous stage output escaping that stage into deployment, operations, qualification, or licensed operation? Reconciliation preserves every original value and applies neither rule silently.</x:v>
      </x:c>
      <x:c r="B4" s="55" t="str">
        <x:v>Should S5 assess (a) locally contained errors only, or (b) the reasonably foreseeable consequences of an erroneous stage output escaping that stage into deployment, operations, qualification, or licensed operation? Reconciliation preserves every original value and applies neither rule silently.</x:v>
      </x:c>
      <x:c r="C4" s="55" t="str">
        <x:v>Should S5 assess (a) locally contained errors only, or (b) the reasonably foreseeable consequences of an erroneous stage output escaping that stage into deployment, operations, qualification, or licensed operation? Reconciliation preserves every original value and applies neither rule silently.</x:v>
      </x:c>
      <x:c r="D4" s="55" t="str">
        <x:v>Should S5 assess (a) locally contained errors only, or (b) the reasonably foreseeable consequences of an erroneous stage output escaping that stage into deployment, operations, qualification, or licensed operation? Reconciliation preserves every original value and applies neither rule silently.</x:v>
      </x:c>
      <x:c r="E4" s="55" t="str">
        <x:v>Should S5 assess (a) locally contained errors only, or (b) the reasonably foreseeable consequences of an erroneous stage output escaping that stage into deployment, operations, qualification, or licensed operation? Reconciliation preserves every original value and applies neither rule silently.</x:v>
      </x:c>
      <x:c r="F4" s="55" t="str">
        <x:v>Should S5 assess (a) locally contained errors only, or (b) the reasonably foreseeable consequences of an erroneous stage output escaping that stage into deployment, operations, qualification, or licensed operation? Reconciliation preserves every original value and applies neither rule silently.</x:v>
      </x:c>
      <x:c r="G4" s="55" t="str">
        <x:v>Should S5 assess (a) locally contained errors only, or (b) the reasonably foreseeable consequences of an erroneous stage output escaping that stage into deployment, operations, qualification, or licensed operation? Reconciliation preserves every original value and applies neither rule silently.</x:v>
      </x:c>
      <x:c r="H4" s="55" t="str">
        <x:v>Should S5 assess (a) locally contained errors only, or (b) the reasonably foreseeable consequences of an erroneous stage output escaping that stage into deployment, operations, qualification, or licensed operation? Reconciliation preserves every original value and applies neither rule silently.</x:v>
      </x:c>
      <x:c r="I4" s="55" t="str">
        <x:v>Should S5 assess (a) locally contained errors only, or (b) the reasonably foreseeable consequences of an erroneous stage output escaping that stage into deployment, operations, qualification, or licensed operation? Reconciliation preserves every original value and applies neither rule silently.</x:v>
      </x:c>
      <x:c r="J4" s="55" t="str">
        <x:v>Should S5 assess (a) locally contained errors only, or (b) the reasonably foreseeable consequences of an erroneous stage output escaping that stage into deployment, operations, qualification, or licensed operation? Reconciliation preserves every original value and applies neither rule silently.</x:v>
      </x:c>
    </x:row>
    <x:row r="6" ht="30" customHeight="1">
      <x:c r="A6" s="17" t="str">
        <x:v>Option A</x:v>
      </x:c>
      <x:c r="B6" s="17" t="str">
        <x:v>locally_contained_errors_only</x:v>
      </x:c>
      <x:c r="D6" s="17" t="str">
        <x:v>Seed S5 higher</x:v>
      </x:c>
      <x:c r="E6" s="17" t="n">
        <x:v>18</x:v>
      </x:c>
      <x:c r="G6" s="17" t="str">
        <x:v>S5 equal</x:v>
      </x:c>
      <x:c r="H6" s="17" t="n">
        <x:v>12</x:v>
      </x:c>
    </x:row>
    <x:row r="7" ht="30" customHeight="1">
      <x:c r="A7" s="18" t="str">
        <x:v>Option B</x:v>
      </x:c>
      <x:c r="B7" s="18" t="str">
        <x:v>include_reasonably_foreseeable_escaped_consequences</x:v>
      </x:c>
      <x:c r="D7" s="18" t="str">
        <x:v>Seed S5 lower</x:v>
      </x:c>
      <x:c r="E7" s="18" t="n">
        <x:v>1</x:v>
      </x:c>
      <x:c r="G7" s="18" t="str">
        <x:v>Two-point gaps</x:v>
      </x:c>
      <x:c r="H7" s="18" t="n">
        <x:v>2</x:v>
      </x:c>
    </x:row>
    <x:row r="9">
      <x:c r="A9" s="56" t="str">
        <x:v>Owner convention choice</x:v>
      </x:c>
      <x:c r="B9" s="49"/>
      <x:c r="C9" s="49"/>
      <x:c r="D9" s="49"/>
      <x:c r="E9" s="49"/>
      <x:c r="F9" s="56" t="str">
        <x:v>Post-reconciliation route</x:v>
      </x:c>
      <x:c r="G9" s="49"/>
      <x:c r="H9" s="49"/>
      <x:c r="I9" s="49"/>
      <x:c r="J9" s="49"/>
    </x:row>
    <x:row r="11">
      <x:c r="A11" s="31" t="str">
        <x:v>These 19 affected rows remain original audit records. Only rows independently meeting an owner-routing trigger appear in OWNER_EXCEPTIONS.</x:v>
      </x:c>
      <x:c r="B11" s="31" t="str">
        <x:v>These 19 affected rows remain original audit records. Only rows independently meeting an owner-routing trigger appear in OWNER_EXCEPTIONS.</x:v>
      </x:c>
      <x:c r="C11" s="31" t="str">
        <x:v>These 19 affected rows remain original audit records. Only rows independently meeting an owner-routing trigger appear in OWNER_EXCEPTIONS.</x:v>
      </x:c>
      <x:c r="D11" s="31" t="str">
        <x:v>These 19 affected rows remain original audit records. Only rows independently meeting an owner-routing trigger appear in OWNER_EXCEPTIONS.</x:v>
      </x:c>
      <x:c r="E11" s="31" t="str">
        <x:v>These 19 affected rows remain original audit records. Only rows independently meeting an owner-routing trigger appear in OWNER_EXCEPTIONS.</x:v>
      </x:c>
      <x:c r="F11" s="31" t="str">
        <x:v>These 19 affected rows remain original audit records. Only rows independently meeting an owner-routing trigger appear in OWNER_EXCEPTIONS.</x:v>
      </x:c>
      <x:c r="G11" s="31" t="str">
        <x:v>These 19 affected rows remain original audit records. Only rows independently meeting an owner-routing trigger appear in OWNER_EXCEPTIONS.</x:v>
      </x:c>
      <x:c r="H11" s="31" t="str">
        <x:v>These 19 affected rows remain original audit records. Only rows independently meeting an owner-routing trigger appear in OWNER_EXCEPTIONS.</x:v>
      </x:c>
      <x:c r="I11" s="31" t="str">
        <x:v>These 19 affected rows remain original audit records. Only rows independently meeting an owner-routing trigger appear in OWNER_EXCEPTIONS.</x:v>
      </x:c>
      <x:c r="J11" s="31" t="str">
        <x:v>These 19 affected rows remain original audit records. Only rows independently meeting an owner-routing trigger appear in OWNER_EXCEPTIONS.</x:v>
      </x:c>
    </x:row>
    <x:row r="13" ht="34" customHeight="1">
      <x:c r="A13" s="9" t="str">
        <x:v>profile_id</x:v>
      </x:c>
      <x:c r="B13" s="35" t="str">
        <x:v>stage / workflow</x:v>
      </x:c>
      <x:c r="C13" s="35" t="str">
        <x:v>sector</x:v>
      </x:c>
      <x:c r="D13" s="35" t="str">
        <x:v>seed S5</x:v>
      </x:c>
      <x:c r="E13" s="35" t="str">
        <x:v>independent S5</x:v>
      </x:c>
      <x:c r="F13" s="35" t="str">
        <x:v>difference</x:v>
      </x:c>
      <x:c r="G13" s="35" t="str">
        <x:v>seed rationale</x:v>
      </x:c>
      <x:c r="H13" s="35" t="str">
        <x:v>independent rationale</x:v>
      </x:c>
      <x:c r="I13" s="35" t="str">
        <x:v>owner exception?</x:v>
      </x:c>
      <x:c r="J13" s="10" t="str">
        <x:v>exception id</x:v>
      </x:c>
    </x:row>
    <x:row r="14" ht="72" customHeight="1">
      <x:c r="A14" s="42" t="str">
        <x:v>sp-0001</x:v>
      </x:c>
      <x:c r="B14" s="42" t="str">
        <x:v>requirements_and_architecture — Requirements and architecture</x:v>
      </x:c>
      <x:c r="C14" s="42" t="str">
        <x:v>Software engineering</x:v>
      </x:c>
      <x:c r="D14" s="51" t="n">
        <x:v>3</x:v>
      </x:c>
      <x:c r="E14" s="51" t="n">
        <x:v>2</x:v>
      </x:c>
      <x:c r="F14" s="51" t="n">
        <x:v>1</x:v>
      </x:c>
      <x:c r="G14" s="42" t="str">
        <x:v>S5: intermediate judgment - an error caught while the work is still on paper costs almost nothing to correct, but architecture errors that escape this stage are the archetypal expensive rework in an established codebase, so the stage falls short of the cheap, reversible, low-externality anchor;</x:v>
      </x:c>
      <x:c r="H14" s="42" t="str">
        <x:v>S5: 2 — errors can propagate into material rework, but remain reviewable and reversible before implementation;</x:v>
      </x:c>
      <x:c r="I14" s="42" t="str">
        <x:v>no — cross-cutting only</x:v>
      </x:c>
      <x:c r="J14" s="42" t="str"/>
    </x:row>
    <x:row r="15" ht="72" customHeight="1">
      <x:c r="A15" s="43" t="str">
        <x:v>sp-0002</x:v>
      </x:c>
      <x:c r="B15" s="43" t="str">
        <x:v>implementation — Implementation</x:v>
      </x:c>
      <x:c r="C15" s="43" t="str">
        <x:v>Software engineering</x:v>
      </x:c>
      <x:c r="D15" s="52" t="n">
        <x:v>4</x:v>
      </x:c>
      <x:c r="E15" s="52" t="n">
        <x:v>3</x:v>
      </x:c>
      <x:c r="F15" s="52" t="n">
        <x:v>1</x:v>
      </x:c>
      <x:c r="G15" s="43" t="str">
        <x:v>S5: changes in this scope are pre-release and held under version control, so a bad change is reverted cheaply with no external consequence; the consequences of defects that reach users are coded at sp-0004 and sp-0005 rather than double-counted here;</x:v>
      </x:c>
      <x:c r="H15" s="43" t="str">
        <x:v>S5: 3 — Intermediate judgment: most errors are reversible through version control and tests, but integration defects can still impose meaningful rework;</x:v>
      </x:c>
      <x:c r="I15" s="43" t="str">
        <x:v>no — cross-cutting only</x:v>
      </x:c>
      <x:c r="J15" s="43" t="str"/>
    </x:row>
    <x:row r="16" ht="72" customHeight="1">
      <x:c r="A16" s="43" t="str">
        <x:v>sp-0003</x:v>
      </x:c>
      <x:c r="B16" s="43" t="str">
        <x:v>verification_and_validation — Verification and validation</x:v>
      </x:c>
      <x:c r="C16" s="43" t="str">
        <x:v>Software engineering</x:v>
      </x:c>
      <x:c r="D16" s="52" t="n">
        <x:v>4</x:v>
      </x:c>
      <x:c r="E16" s="52" t="n">
        <x:v>2</x:v>
      </x:c>
      <x:c r="F16" s="52" t="n">
        <x:v>2</x:v>
      </x:c>
      <x:c r="G16" s="43" t="str">
        <x:v>S5: errors made inside this stage, such as a wrong assertion or a misdiagnosed reproduction, are corrected cheaply and reversibly with no external consequence; escaped-defect consequences belong to the deployment and operations stages and are coded there;</x:v>
      </x:c>
      <x:c r="H16" s="43" t="str">
        <x:v>S5: 2 — test mistakes or false negatives can permit defects and cause material review burdens, but reruns and corrections are normally possible;</x:v>
      </x:c>
      <x:c r="I16" s="43" t="str">
        <x:v>yes</x:v>
      </x:c>
      <x:c r="J16" s="43" t="str">
        <x:v>exc-sp-0003-s5</x:v>
      </x:c>
    </x:row>
    <x:row r="17" ht="72" customHeight="1">
      <x:c r="A17" s="43" t="str">
        <x:v>sp-0004</x:v>
      </x:c>
      <x:c r="B17" s="43" t="str">
        <x:v>deployment — Deployment</x:v>
      </x:c>
      <x:c r="C17" s="43" t="str">
        <x:v>Software engineering</x:v>
      </x:c>
      <x:c r="D17" s="52" t="n">
        <x:v>2</x:v>
      </x:c>
      <x:c r="E17" s="52" t="n">
        <x:v>1</x:v>
      </x:c>
      <x:c r="F17" s="52" t="n">
        <x:v>1</x:v>
      </x:c>
      <x:c r="G17" s="43" t="str">
        <x:v>S5: rollout errors reach live users and can degrade or interrupt service, and schema or data migrations are not always cleanly reversible, but progressive rollout, feature flags and rollback ordinarily contain and reverse them at material cost;</x:v>
      </x:c>
      <x:c r="H17" s="43" t="str">
        <x:v>S5: 1 — Intermediate judgment: many failures can be rolled back, yet outages or data migration errors may be severe and not fully reversible;</x:v>
      </x:c>
      <x:c r="I17" s="43" t="str">
        <x:v>no — cross-cutting only</x:v>
      </x:c>
      <x:c r="J17" s="43" t="str"/>
    </x:row>
    <x:row r="18" ht="72" customHeight="1">
      <x:c r="A18" s="43" t="str">
        <x:v>sp-0005</x:v>
      </x:c>
      <x:c r="B18" s="43" t="str">
        <x:v>operations_and_maintenance — Operations and maintenance</x:v>
      </x:c>
      <x:c r="C18" s="43" t="str">
        <x:v>Software engineering</x:v>
      </x:c>
      <x:c r="D18" s="52" t="n">
        <x:v>2</x:v>
      </x:c>
      <x:c r="E18" s="52" t="n">
        <x:v>1</x:v>
      </x:c>
      <x:c r="F18" s="52" t="n">
        <x:v>1</x:v>
      </x:c>
      <x:c r="G18" s="43" t="str">
        <x:v>S5: corrective changes and incident actions operate on live state, so an error can extend an outage or lose data, and although rollback, backups and containment ordinarily reverse the damage, the externality on users is real and the cost is material;</x:v>
      </x:c>
      <x:c r="H18" s="43" t="str">
        <x:v>S5: 1 — Intermediate judgment: rollback often contains errors, but operational mistakes can cause outages, data loss, or cascading service effects;</x:v>
      </x:c>
      <x:c r="I18" s="43" t="str">
        <x:v>no — cross-cutting only</x:v>
      </x:c>
      <x:c r="J18" s="43" t="str"/>
    </x:row>
    <x:row r="19" ht="72" customHeight="1">
      <x:c r="A19" s="43" t="str">
        <x:v>sp-0008</x:v>
      </x:c>
      <x:c r="B19" s="43" t="str">
        <x:v>supply_and_tooling — Supply and tooling</x:v>
      </x:c>
      <x:c r="C19" s="43" t="str">
        <x:v>Discrete manufacturing</x:v>
      </x:c>
      <x:c r="D19" s="52" t="n">
        <x:v>1</x:v>
      </x:c>
      <x:c r="E19" s="52" t="n">
        <x:v>2</x:v>
      </x:c>
      <x:c r="F19" s="52" t="n">
        <x:v>1</x:v>
      </x:c>
      <x:c r="G19" s="43" t="str">
        <x:v>S5: intermediate judgment - errors are recoverable in principle but ordinarily require re-cutting or re-procuring hardware at high cost and months of delay, and material removed from a tool cannot be restored, so errors are materially worse than containable while falling short of catastrophic or irreversible;</x:v>
      </x:c>
      <x:c r="H19" s="43" t="str">
        <x:v>S5: 2 — mistakes create substantial cost and delay, but tools or supply plans can usually be reworked or replaced;</x:v>
      </x:c>
      <x:c r="I19" s="43" t="str">
        <x:v>no — cross-cutting only</x:v>
      </x:c>
      <x:c r="J19" s="43" t="str"/>
    </x:row>
    <x:row r="20" ht="72" customHeight="1">
      <x:c r="A20" s="43" t="str">
        <x:v>sp-0011</x:v>
      </x:c>
      <x:c r="B20" s="43" t="str">
        <x:v>production_and_process_control — Production and process control</x:v>
      </x:c>
      <x:c r="C20" s="43" t="str">
        <x:v>Discrete manufacturing</x:v>
      </x:c>
      <x:c r="D20" s="52" t="n">
        <x:v>2</x:v>
      </x:c>
      <x:c r="E20" s="52" t="n">
        <x:v>1</x:v>
      </x:c>
      <x:c r="F20" s="52" t="n">
        <x:v>1</x:v>
      </x:c>
      <x:c r="G20" s="43" t="str">
        <x:v>S5: errors produce scrap, rework, equipment damage and occasionally defective units that reach customers, which is material cost and real externality, but containment, sorting and process correction ordinarily reverse the consequences;</x:v>
      </x:c>
      <x:c r="H20" s="43" t="str">
        <x:v>S5: 1 — Intermediate judgment: control errors can create scrap, equipment damage, or safety events, while safeguards often limit the consequence;</x:v>
      </x:c>
      <x:c r="I20" s="43" t="str">
        <x:v>no — cross-cutting only</x:v>
      </x:c>
      <x:c r="J20" s="43" t="str"/>
    </x:row>
    <x:row r="21" ht="72" customHeight="1">
      <x:c r="A21" s="43" t="str">
        <x:v>sp-0012</x:v>
      </x:c>
      <x:c r="B21" s="43" t="str">
        <x:v>quality_assurance — Quality assurance</x:v>
      </x:c>
      <x:c r="C21" s="43" t="str">
        <x:v>Discrete manufacturing</x:v>
      </x:c>
      <x:c r="D21" s="52" t="n">
        <x:v>2</x:v>
      </x:c>
      <x:c r="E21" s="52" t="n">
        <x:v>1</x:v>
      </x:c>
      <x:c r="F21" s="52" t="n">
        <x:v>1</x:v>
      </x:c>
      <x:c r="G21" s="43" t="str">
        <x:v>S5: false rejects cost scrap and false accepts allow defective product to reach customers, and in high volume an escaped-defect population can require field containment, which is material cost and real externality; within the scoped stage these are ordinarily contained and reversed by sorting and containment actions;</x:v>
      </x:c>
      <x:c r="H21" s="43" t="str">
        <x:v>S5: 1 — Intermediate judgment: false acceptance can release defects and false rejection wastes output, yet traceability and containment often limit harm;</x:v>
      </x:c>
      <x:c r="I21" s="43" t="str">
        <x:v>no — cross-cutting only</x:v>
      </x:c>
      <x:c r="J21" s="43" t="str"/>
    </x:row>
    <x:row r="22" ht="72" customHeight="1">
      <x:c r="A22" s="43" t="str">
        <x:v>sp-0013</x:v>
      </x:c>
      <x:c r="B22" s="43" t="str">
        <x:v>maintenance_and_continuous_improvement — Maintenance and continuous improvement</x:v>
      </x:c>
      <x:c r="C22" s="43" t="str">
        <x:v>Discrete manufacturing</x:v>
      </x:c>
      <x:c r="D22" s="52" t="n">
        <x:v>2</x:v>
      </x:c>
      <x:c r="E22" s="52" t="n">
        <x:v>1</x:v>
      </x:c>
      <x:c r="F22" s="52" t="n">
        <x:v>1</x:v>
      </x:c>
      <x:c r="G22" s="43" t="str">
        <x:v>S5: a botched repair or an ill-judged process change costs equipment availability, yield and occasionally equipment damage or a safety event, which is material, but the consequences are ordinarily contained and reversed by restoring the prior configuration;</x:v>
      </x:c>
      <x:c r="H22" s="43" t="str">
        <x:v>S5: 1 — Intermediate judgment: maintenance mistakes can cause damage, downtime, or safety risks, though isolation and rework often contain them;</x:v>
      </x:c>
      <x:c r="I22" s="43" t="str">
        <x:v>no — cross-cutting only</x:v>
      </x:c>
      <x:c r="J22" s="43" t="str"/>
    </x:row>
    <x:row r="23" ht="72" customHeight="1">
      <x:c r="A23" s="43" t="str">
        <x:v>sp-0014</x:v>
      </x:c>
      <x:c r="B23" s="43" t="str">
        <x:v>theory_and_system_design — Theory and system design</x:v>
      </x:c>
      <x:c r="C23" s="43" t="str">
        <x:v>Fusion, magnetic confinement</x:v>
      </x:c>
      <x:c r="D23" s="52" t="n">
        <x:v>3</x:v>
      </x:c>
      <x:c r="E23" s="52" t="n">
        <x:v>2</x:v>
      </x:c>
      <x:c r="F23" s="52" t="n">
        <x:v>1</x:v>
      </x:c>
      <x:c r="G23" s="43" t="str">
        <x:v>S5: intermediate judgment - errors are corrected cheaply while the work remains analytical, but this stage sets commitments that propagate into irreversible fabrication, construction and licensing decisions, so its errors are not low-externality in the way the top anchor requires;</x:v>
      </x:c>
      <x:c r="H23" s="43" t="str">
        <x:v>S5: 2 — design errors are revisable within the stage but can create material downstream rework and assurance burden;</x:v>
      </x:c>
      <x:c r="I23" s="43" t="str">
        <x:v>no — cross-cutting only</x:v>
      </x:c>
      <x:c r="J23" s="43" t="str"/>
    </x:row>
    <x:row r="24" ht="72" customHeight="1">
      <x:c r="A24" s="43" t="str">
        <x:v>sp-0015</x:v>
      </x:c>
      <x:c r="B24" s="43" t="str">
        <x:v>simulation — Simulation</x:v>
      </x:c>
      <x:c r="C24" s="43" t="str">
        <x:v>Fusion, magnetic confinement</x:v>
      </x:c>
      <x:c r="D24" s="52" t="n">
        <x:v>4</x:v>
      </x:c>
      <x:c r="E24" s="52" t="n">
        <x:v>3</x:v>
      </x:c>
      <x:c r="F24" s="52" t="n">
        <x:v>1</x:v>
      </x:c>
      <x:c r="G24" s="43" t="str">
        <x:v>S5: an error inside simulation is detected and corrected by rerunning at low cost with no external consequence; the risk that an unvalidated model misinforms design or experiment choice is a coupling effect and is coded at sp-0014 and sp-0016 rather than double-counted here;</x:v>
      </x:c>
      <x:c r="H24" s="43" t="str">
        <x:v>S5: 3 — Intermediate judgment: runs are reversible and low-externality, but model error can materially misdirect later experiments or design;</x:v>
      </x:c>
      <x:c r="I24" s="43" t="str">
        <x:v>no — cross-cutting only</x:v>
      </x:c>
      <x:c r="J24" s="43" t="str"/>
    </x:row>
    <x:row r="25" ht="72" customHeight="1">
      <x:c r="A25" s="43" t="str">
        <x:v>sp-0020</x:v>
      </x:c>
      <x:c r="B25" s="43" t="str">
        <x:v>materials_qualification — Materials qualification</x:v>
      </x:c>
      <x:c r="C25" s="43" t="str">
        <x:v>Fusion, magnetic confinement</x:v>
      </x:c>
      <x:c r="D25" s="52" t="n">
        <x:v>1</x:v>
      </x:c>
      <x:c r="E25" s="52" t="n">
        <x:v>0</x:v>
      </x:c>
      <x:c r="F25" s="52" t="n">
        <x:v>1</x:v>
      </x:c>
      <x:c r="G25" s="43" t="str">
        <x:v>S5: intermediate judgment - an individual failed test is informative rather than harmful, but an error that spoils a specimen matrix forfeits years of irradiation time that cannot be recovered, and an unsound qualification conclusion propagates into build and licensing commitments;</x:v>
      </x:c>
      <x:c r="H25" s="43" t="str">
        <x:v>S5: 0 — qualification errors can admit unsafe or unreliable materials with severe and potentially irreversible downstream consequences;</x:v>
      </x:c>
      <x:c r="I25" s="43" t="str">
        <x:v>no — cross-cutting only</x:v>
      </x:c>
      <x:c r="J25" s="43" t="str"/>
    </x:row>
    <x:row r="26" ht="72" customHeight="1">
      <x:c r="A26" s="43" t="str">
        <x:v>sp-0023</x:v>
      </x:c>
      <x:c r="B26" s="43" t="str">
        <x:v>plasma_facing_components — Plasma-facing components</x:v>
      </x:c>
      <x:c r="C26" s="43" t="str">
        <x:v>Fusion, magnetic confinement</x:v>
      </x:c>
      <x:c r="D26" s="52" t="n">
        <x:v>2</x:v>
      </x:c>
      <x:c r="E26" s="52" t="n">
        <x:v>1</x:v>
      </x:c>
      <x:c r="F26" s="52" t="n">
        <x:v>1</x:v>
      </x:c>
      <x:c r="G26" s="43" t="str">
        <x:v>S5: within the scoped design-and-test work, failures occur on mock-ups and are informative and containable, at the material cost of months of fabrication and scarce facility time; the severe consequences of a plasma-facing component failure in an operating machine fall to the commissioning and reliability stages and are coded there;</x:v>
      </x:c>
      <x:c r="H26" s="43" t="str">
        <x:v>S5: 1 — Intermediate judgment: failures can damage components or contaminate plasma, though pre-integration testing contains many errors;</x:v>
      </x:c>
      <x:c r="I26" s="43" t="str">
        <x:v>no — cross-cutting only</x:v>
      </x:c>
      <x:c r="J26" s="43" t="str"/>
    </x:row>
    <x:row r="27" ht="72" customHeight="1">
      <x:c r="A27" s="43" t="str">
        <x:v>sp-0024</x:v>
      </x:c>
      <x:c r="B27" s="43" t="str">
        <x:v>tritium_and_fuel_cycle — Tritium and fuel cycle</x:v>
      </x:c>
      <x:c r="C27" s="43" t="str">
        <x:v>Fusion, magnetic confinement</x:v>
      </x:c>
      <x:c r="D27" s="52" t="n">
        <x:v>1</x:v>
      </x:c>
      <x:c r="E27" s="52" t="n">
        <x:v>0</x:v>
      </x:c>
      <x:c r="F27" s="52" t="n">
        <x:v>1</x:v>
      </x:c>
      <x:c r="G27" s="43" t="str">
        <x:v>S5: intermediate judgment - routine design and surrogate errors are recoverable, but errors involving tritium produce irreversible release of a regulated radionuclide with contamination, reporting and licence consequences that extend beyond the operator, placing the stage well below the containable-error anchor;</x:v>
      </x:c>
      <x:c r="H27" s="43" t="str">
        <x:v>S5: 0 — containment or inventory errors can create severe radiological, safety, and regulatory consequences;</x:v>
      </x:c>
      <x:c r="I27" s="43" t="str">
        <x:v>yes</x:v>
      </x:c>
      <x:c r="J27" s="43" t="str">
        <x:v>exc-sp-0024-s5</x:v>
      </x:c>
    </x:row>
    <x:row r="28" ht="72" customHeight="1">
      <x:c r="A28" s="43" t="str">
        <x:v>sp-0025</x:v>
      </x:c>
      <x:c r="B28" s="43" t="str">
        <x:v>blankets — Blankets</x:v>
      </x:c>
      <x:c r="C28" s="43" t="str">
        <x:v>Fusion, magnetic confinement</x:v>
      </x:c>
      <x:c r="D28" s="52" t="n">
        <x:v>1</x:v>
      </x:c>
      <x:c r="E28" s="52" t="n">
        <x:v>0</x:v>
      </x:c>
      <x:c r="F28" s="52" t="n">
        <x:v>1</x:v>
      </x:c>
      <x:c r="G28" s="43" t="str">
        <x:v>S5: intermediate judgment - analytical errors are correctable while the work remains on paper, but validating articles are few and expensive, and errors in systems handling lithium-lead, beryllium or tritium-bearing coolant carry chemical and radiological consequences that are not cheaply reversible;</x:v>
      </x:c>
      <x:c r="H28" s="43" t="str">
        <x:v>S5: 0 — failures can compromise heat removal, tritium functions, structural integrity, or radiological safety;</x:v>
      </x:c>
      <x:c r="I28" s="43" t="str">
        <x:v>yes</x:v>
      </x:c>
      <x:c r="J28" s="43" t="str">
        <x:v>exc-sp-0025-s5</x:v>
      </x:c>
    </x:row>
    <x:row r="29" ht="72" customHeight="1">
      <x:c r="A29" s="43" t="str">
        <x:v>sp-0028</x:v>
      </x:c>
      <x:c r="B29" s="43" t="str">
        <x:v>commissioning — Commissioning</x:v>
      </x:c>
      <x:c r="C29" s="43" t="str">
        <x:v>Fusion, magnetic confinement</x:v>
      </x:c>
      <x:c r="D29" s="52" t="n">
        <x:v>1</x:v>
      </x:c>
      <x:c r="E29" s="52" t="n">
        <x:v>0</x:v>
      </x:c>
      <x:c r="F29" s="52" t="n">
        <x:v>1</x:v>
      </x:c>
      <x:c r="G29" s="43" t="str">
        <x:v>S5: intermediate judgment - most commissioning faults are diagnosed and repaired at the cost of schedule, but errors during first energisation of magnets or first vacuum and cryogenic operation can damage installed hardware that is extremely difficult to replace in situ;</x:v>
      </x:c>
      <x:c r="H29" s="43" t="str">
        <x:v>S5: 0 — commissioning errors can damage unique equipment or create serious safety consequences;</x:v>
      </x:c>
      <x:c r="I29" s="43" t="str">
        <x:v>yes</x:v>
      </x:c>
      <x:c r="J29" s="43" t="str">
        <x:v>exc-sp-0028-s5</x:v>
      </x:c>
    </x:row>
    <x:row r="30" ht="72" customHeight="1">
      <x:c r="A30" s="43" t="str">
        <x:v>sp-0029</x:v>
      </x:c>
      <x:c r="B30" s="43" t="str">
        <x:v>reliability_demonstration — Reliability demonstration</x:v>
      </x:c>
      <x:c r="C30" s="43" t="str">
        <x:v>Fusion, magnetic confinement</x:v>
      </x:c>
      <x:c r="D30" s="52" t="n">
        <x:v>1</x:v>
      </x:c>
      <x:c r="E30" s="52" t="n">
        <x:v>0</x:v>
      </x:c>
      <x:c r="F30" s="52" t="n">
        <x:v>1</x:v>
      </x:c>
      <x:c r="G30" s="43" t="str">
        <x:v>S5: intermediate judgment - individual failed pulses are expected and informative, which keeps this above the catastrophic anchor, but a component failure during sustained operation can remove the only machine from service for a long repair and reset the demonstration clock;</x:v>
      </x:c>
      <x:c r="H30" s="43" t="str">
        <x:v>S5: 0 — errors or failures can damage unique assets, erase schedule, or create severe safety consequences;</x:v>
      </x:c>
      <x:c r="I30" s="43" t="str">
        <x:v>yes</x:v>
      </x:c>
      <x:c r="J30" s="43" t="str">
        <x:v>exc-sp-0029-s5</x:v>
      </x:c>
    </x:row>
    <x:row r="31" ht="72" customHeight="1">
      <x:c r="A31" s="43" t="str">
        <x:v>sp-0030</x:v>
      </x:c>
      <x:c r="B31" s="43" t="str">
        <x:v>licensing — Licensing</x:v>
      </x:c>
      <x:c r="C31" s="43" t="str">
        <x:v>Fusion, magnetic confinement</x:v>
      </x:c>
      <x:c r="D31" s="52" t="n">
        <x:v>2</x:v>
      </x:c>
      <x:c r="E31" s="52" t="n">
        <x:v>0</x:v>
      </x:c>
      <x:c r="F31" s="52" t="n">
        <x:v>2</x:v>
      </x:c>
      <x:c r="G31" s="43" t="str">
        <x:v>S5: errors in the safety case are found in review and corrected by resubmission, which is containable and reversible within the scoped stage at material cost in delay and expert effort; the external safety consequence of an unsound licence is real but is a property of the licensed operation rather than of the licensing work;</x:v>
      </x:c>
      <x:c r="H31" s="43" t="str">
        <x:v>S5: 0 — approval or assurance errors can expose workers, the public, and the environment to severe and potentially irreversible harm;</x:v>
      </x:c>
      <x:c r="I31" s="43" t="str">
        <x:v>yes</x:v>
      </x:c>
      <x:c r="J31" s="43" t="str">
        <x:v>exc-sp-0030-s5</x:v>
      </x:c>
    </x:row>
    <x:row r="32" ht="72" customHeight="1">
      <x:c r="A32" s="43" t="str">
        <x:v>sp-0031</x:v>
      </x:c>
      <x:c r="B32" s="43" t="str">
        <x:v>grid_integration — Grid integration</x:v>
      </x:c>
      <x:c r="C32" s="43" t="str">
        <x:v>Fusion, magnetic confinement</x:v>
      </x:c>
      <x:c r="D32" s="52" t="n">
        <x:v>1</x:v>
      </x:c>
      <x:c r="E32" s="52" t="n">
        <x:v>0</x:v>
      </x:c>
      <x:c r="F32" s="52" t="n">
        <x:v>1</x:v>
      </x:c>
      <x:c r="G32" s="43" t="str">
        <x:v>S5: intermediate judgment - errors found in study are cheap to correct, but errors that reach energisation can trip or disturb a shared network with consequences for third parties and for the connection agreement, which is materially worse than containable while not being catastrophic;</x:v>
      </x:c>
      <x:c r="H32" s="43" t="str">
        <x:v>S5: 0 — protection or integration errors can damage equipment or compromise grid and facility safety;</x:v>
      </x:c>
      <x:c r="I32" s="43" t="str">
        <x:v>yes</x:v>
      </x:c>
      <x:c r="J32" s="43" t="str">
        <x:v>exc-sp-0031-s5</x:v>
      </x:c>
    </x:row>
  </x:sheetData>
  <x:mergeCells>
    <x:mergeCell ref="A1:J1"/>
    <x:mergeCell ref="A3:J4"/>
    <x:mergeCell ref="B9:E9"/>
    <x:mergeCell ref="G9:J9"/>
    <x:mergeCell ref="A11:J11"/>
  </x:mergeCells>
  <x:dataValidations count="1">
    <x:dataValidation type="list" sqref="B9:E9">
      <x:formula1>"locally_contained_errors_only,include_reasonably_foreseeable_escaped_consequences"</x:formula1>
    </x:dataValidation>
  </x:dataValidations>
  <x:pageMargins left="0.7" right="0.7" top="0.75" bottom="0.75" header="0.3" footer="0.3"/>
  <x:tableParts count="1">
    <x:tablePart xmlns:r="http://schemas.openxmlformats.org/officeDocument/2006/relationships" r:id="R4a4101d4320f47b4"/>
  </x:tableParts>
</x:worksheet>
</file>